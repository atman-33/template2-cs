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73BDA367-CE4B-4E22-9C23-2AA6940BE188}" xr6:coauthVersionLast="47" xr6:coauthVersionMax="47" xr10:uidLastSave="{00000000-0000-0000-0000-000000000000}"/>
  <bookViews>
    <workbookView xWindow="-103" yWindow="-103" windowWidth="22586" windowHeight="15840"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 i="4" l="1"/>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F11" i="15" l="1"/>
  <c r="E11" i="15"/>
  <c r="F10" i="15"/>
  <c r="E10" i="15"/>
  <c r="F9" i="15"/>
  <c r="E9" i="15"/>
  <c r="F8" i="15"/>
  <c r="E8" i="15"/>
  <c r="F7" i="15"/>
  <c r="E7" i="15"/>
  <c r="E4" i="11"/>
  <c r="F4" i="11" s="1"/>
  <c r="E5" i="11"/>
  <c r="F5" i="11" s="1"/>
  <c r="E6" i="11"/>
  <c r="F6" i="11" s="1"/>
  <c r="E7" i="11"/>
  <c r="F7" i="11" s="1"/>
  <c r="E8" i="11"/>
  <c r="F8" i="11" s="1"/>
  <c r="E9" i="11"/>
  <c r="F9" i="11" s="1"/>
  <c r="E10" i="11"/>
  <c r="F10" i="11" s="1"/>
  <c r="E11" i="11"/>
  <c r="F11" i="11" s="1"/>
  <c r="E12" i="11"/>
  <c r="F12" i="11" s="1"/>
  <c r="E13" i="11"/>
  <c r="F13" i="11" s="1"/>
  <c r="E14" i="11"/>
  <c r="F14" i="11" s="1"/>
  <c r="E15" i="11"/>
  <c r="F15" i="11" s="1"/>
  <c r="E16" i="11"/>
  <c r="F16" i="11" s="1"/>
  <c r="E17" i="11"/>
  <c r="F17" i="11" s="1"/>
  <c r="E18" i="11"/>
  <c r="F18" i="11" s="1"/>
  <c r="E19" i="11"/>
  <c r="F19" i="11" s="1"/>
  <c r="E20" i="11"/>
  <c r="F20" i="11" s="1"/>
  <c r="E21" i="11"/>
  <c r="F21" i="11" s="1"/>
  <c r="E22" i="11"/>
  <c r="F22" i="11" s="1"/>
  <c r="E23" i="11"/>
  <c r="F23" i="11" s="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D36" i="4" s="1"/>
  <c r="Y36" i="4" s="1" a="1"/>
  <c r="Y36" i="4" s="1"/>
  <c r="E36" i="4"/>
  <c r="F36" i="4" s="1"/>
  <c r="G36" i="4"/>
  <c r="B37" i="4"/>
  <c r="E37" i="4" s="1"/>
  <c r="D37" i="4"/>
  <c r="J37" i="4"/>
  <c r="B38" i="4"/>
  <c r="D38" i="4" s="1"/>
  <c r="Y38" i="4" s="1" a="1"/>
  <c r="Y38" i="4" s="1"/>
  <c r="G38" i="4"/>
  <c r="I38" i="4"/>
  <c r="B39" i="4"/>
  <c r="B40" i="4"/>
  <c r="D40" i="4"/>
  <c r="E40" i="4"/>
  <c r="G40" i="4"/>
  <c r="H40" i="4"/>
  <c r="I40" i="4"/>
  <c r="J40" i="4"/>
  <c r="V40" i="4" s="1" a="1"/>
  <c r="V40" i="4" s="1"/>
  <c r="B41" i="4"/>
  <c r="D41" i="4" s="1"/>
  <c r="B42" i="4"/>
  <c r="D42" i="4" s="1"/>
  <c r="Y42" i="4" s="1" a="1"/>
  <c r="Y42" i="4" s="1"/>
  <c r="B43" i="4"/>
  <c r="J43" i="4" s="1"/>
  <c r="B44" i="4"/>
  <c r="E44" i="4" s="1"/>
  <c r="D44" i="4"/>
  <c r="Y44" i="4" s="1" a="1"/>
  <c r="Y44" i="4" s="1"/>
  <c r="G44" i="4"/>
  <c r="J44" i="4"/>
  <c r="B45" i="4"/>
  <c r="B46" i="4"/>
  <c r="G46" i="4" s="1"/>
  <c r="B47" i="4"/>
  <c r="B48" i="4"/>
  <c r="G48" i="4" s="1"/>
  <c r="B49" i="4"/>
  <c r="D49" i="4" s="1"/>
  <c r="Y49" i="4" s="1" a="1"/>
  <c r="Y49" i="4" s="1"/>
  <c r="B50" i="4"/>
  <c r="H50" i="4" s="1"/>
  <c r="D50" i="4"/>
  <c r="B51" i="4"/>
  <c r="D51" i="4" s="1"/>
  <c r="Y51" i="4" s="1" a="1"/>
  <c r="Y51" i="4" s="1"/>
  <c r="H51" i="4"/>
  <c r="B52" i="4"/>
  <c r="H52" i="4" s="1"/>
  <c r="D52" i="4"/>
  <c r="J52" i="4"/>
  <c r="B53" i="4"/>
  <c r="D53" i="4" s="1"/>
  <c r="J53" i="4"/>
  <c r="B54" i="4"/>
  <c r="D54" i="4" s="1"/>
  <c r="Y54" i="4" s="1" a="1"/>
  <c r="Y54" i="4" s="1"/>
  <c r="B55" i="4"/>
  <c r="J55" i="4" s="1"/>
  <c r="D55" i="4"/>
  <c r="Y55" i="4" s="1" a="1"/>
  <c r="Y55" i="4" s="1"/>
  <c r="H55" i="4"/>
  <c r="B56" i="4"/>
  <c r="D56" i="4" s="1"/>
  <c r="Y56" i="4" s="1" a="1"/>
  <c r="Y56" i="4" s="1"/>
  <c r="B57" i="4"/>
  <c r="B58" i="4"/>
  <c r="D58" i="4" s="1"/>
  <c r="Y58" i="4" s="1" a="1"/>
  <c r="Y58" i="4" s="1"/>
  <c r="B59" i="4"/>
  <c r="J59" i="4"/>
  <c r="B60" i="4"/>
  <c r="D60" i="4" s="1"/>
  <c r="Y60" i="4" s="1" a="1"/>
  <c r="Y60" i="4" s="1"/>
  <c r="E60" i="4"/>
  <c r="F60" i="4" s="1"/>
  <c r="B61" i="4"/>
  <c r="D61" i="4" s="1"/>
  <c r="Y61" i="4" s="1" a="1"/>
  <c r="Y61" i="4" s="1"/>
  <c r="E61" i="4"/>
  <c r="U61" i="4" s="1"/>
  <c r="G61" i="4"/>
  <c r="H61" i="4"/>
  <c r="J61" i="4"/>
  <c r="B62" i="4"/>
  <c r="J62" i="4"/>
  <c r="B63" i="4"/>
  <c r="D63" i="4" s="1"/>
  <c r="Y63" i="4" s="1" a="1"/>
  <c r="Y63" i="4" s="1"/>
  <c r="B64" i="4"/>
  <c r="D64" i="4" s="1"/>
  <c r="E64" i="4"/>
  <c r="U64" i="4" s="1"/>
  <c r="H64" i="4"/>
  <c r="B65" i="4"/>
  <c r="H65" i="4" s="1"/>
  <c r="B66" i="4"/>
  <c r="B67" i="4"/>
  <c r="H67" i="4" s="1"/>
  <c r="B68" i="4"/>
  <c r="G68" i="4" s="1"/>
  <c r="B69" i="4"/>
  <c r="D69" i="4" s="1"/>
  <c r="Y69" i="4" s="1" a="1"/>
  <c r="Y69" i="4" s="1"/>
  <c r="B70" i="4"/>
  <c r="J70" i="4" s="1"/>
  <c r="B71" i="4"/>
  <c r="D71" i="4" s="1"/>
  <c r="G71" i="4"/>
  <c r="B72" i="4"/>
  <c r="H72" i="4" s="1"/>
  <c r="B73" i="4"/>
  <c r="D73" i="4" s="1"/>
  <c r="Y73" i="4" s="1" a="1"/>
  <c r="Y73" i="4" s="1"/>
  <c r="B74" i="4"/>
  <c r="J74" i="4" s="1"/>
  <c r="B75" i="4"/>
  <c r="D75" i="4" s="1"/>
  <c r="Y75" i="4" s="1" a="1"/>
  <c r="Y75" i="4" s="1"/>
  <c r="E75" i="4"/>
  <c r="I75" i="4"/>
  <c r="O75" i="4" s="1"/>
  <c r="B76" i="4"/>
  <c r="H76" i="4" s="1"/>
  <c r="D76" i="4"/>
  <c r="Y76" i="4" s="1" a="1"/>
  <c r="Y76" i="4" s="1"/>
  <c r="J76" i="4"/>
  <c r="B77" i="4"/>
  <c r="B78" i="4"/>
  <c r="H78" i="4" s="1"/>
  <c r="B79" i="4"/>
  <c r="B80" i="4"/>
  <c r="E80" i="4" s="1"/>
  <c r="D80" i="4"/>
  <c r="H80" i="4"/>
  <c r="I80" i="4"/>
  <c r="B81" i="4"/>
  <c r="B82" i="4"/>
  <c r="B83" i="4"/>
  <c r="E83" i="4" s="1"/>
  <c r="F83" i="4" s="1"/>
  <c r="J83" i="4"/>
  <c r="B84" i="4"/>
  <c r="G84" i="4"/>
  <c r="B85" i="4"/>
  <c r="G85" i="4" s="1"/>
  <c r="D85" i="4"/>
  <c r="Y85" i="4" s="1" a="1"/>
  <c r="Y85" i="4" s="1"/>
  <c r="J85" i="4"/>
  <c r="B86" i="4"/>
  <c r="H86" i="4" s="1"/>
  <c r="B87" i="4"/>
  <c r="D87" i="4" s="1"/>
  <c r="Y87" i="4" s="1" a="1"/>
  <c r="Y87" i="4" s="1"/>
  <c r="E87" i="4"/>
  <c r="G87" i="4"/>
  <c r="J87" i="4"/>
  <c r="B88" i="4"/>
  <c r="G88" i="4"/>
  <c r="B89" i="4"/>
  <c r="D89" i="4" s="1"/>
  <c r="E89" i="4"/>
  <c r="F89" i="4" s="1"/>
  <c r="G89" i="4"/>
  <c r="H89" i="4"/>
  <c r="J89" i="4"/>
  <c r="B90" i="4"/>
  <c r="E90" i="4"/>
  <c r="I90" i="4"/>
  <c r="B91" i="4"/>
  <c r="B92" i="4"/>
  <c r="G92" i="4" s="1"/>
  <c r="D92" i="4"/>
  <c r="Y92" i="4" s="1" a="1"/>
  <c r="Y92" i="4" s="1"/>
  <c r="E92" i="4"/>
  <c r="F92" i="4" s="1"/>
  <c r="H92" i="4"/>
  <c r="I92" i="4"/>
  <c r="P92" i="4" s="1"/>
  <c r="Q92" i="4" s="1"/>
  <c r="J92" i="4"/>
  <c r="B93" i="4"/>
  <c r="B94" i="4"/>
  <c r="D94" i="4" s="1"/>
  <c r="Y94" i="4" s="1" a="1"/>
  <c r="Y94" i="4" s="1"/>
  <c r="G94" i="4"/>
  <c r="B95" i="4"/>
  <c r="D95" i="4" s="1"/>
  <c r="Y95" i="4" s="1" a="1"/>
  <c r="Y95" i="4" s="1"/>
  <c r="B96" i="4"/>
  <c r="G96" i="4" s="1"/>
  <c r="E96" i="4"/>
  <c r="B97" i="4"/>
  <c r="D97" i="4" s="1"/>
  <c r="Y97" i="4" s="1" a="1"/>
  <c r="Y97" i="4" s="1"/>
  <c r="G97" i="4"/>
  <c r="B98" i="4"/>
  <c r="H98" i="4" s="1"/>
  <c r="E98" i="4"/>
  <c r="B99" i="4"/>
  <c r="E99" i="4" s="1"/>
  <c r="F99" i="4" s="1"/>
  <c r="G99" i="4"/>
  <c r="B100" i="4"/>
  <c r="D100" i="4" s="1"/>
  <c r="Y100" i="4" s="1" a="1"/>
  <c r="Y100" i="4" s="1"/>
  <c r="B101" i="4"/>
  <c r="D101" i="4" s="1"/>
  <c r="H101" i="4"/>
  <c r="B102" i="4"/>
  <c r="B103" i="4"/>
  <c r="B104" i="4"/>
  <c r="E104" i="4"/>
  <c r="F104" i="4" s="1"/>
  <c r="G104" i="4"/>
  <c r="H104" i="4"/>
  <c r="J104" i="4"/>
  <c r="B105" i="4"/>
  <c r="G105" i="4"/>
  <c r="B106" i="4"/>
  <c r="G106" i="4" s="1"/>
  <c r="B107" i="4"/>
  <c r="E107" i="4" s="1"/>
  <c r="D107" i="4"/>
  <c r="Y107" i="4" s="1" a="1"/>
  <c r="Y107" i="4" s="1"/>
  <c r="H107" i="4"/>
  <c r="I107" i="4"/>
  <c r="P107" i="4" s="1"/>
  <c r="Q107" i="4" s="1"/>
  <c r="B108" i="4"/>
  <c r="G108" i="4" s="1"/>
  <c r="E108" i="4"/>
  <c r="F108" i="4" s="1"/>
  <c r="B109" i="4"/>
  <c r="D109" i="4" s="1"/>
  <c r="Y109" i="4" s="1" a="1"/>
  <c r="Y109" i="4" s="1"/>
  <c r="B110" i="4"/>
  <c r="E110" i="4" s="1"/>
  <c r="J110" i="4"/>
  <c r="B111" i="4"/>
  <c r="I111" i="4"/>
  <c r="P111" i="4" s="1"/>
  <c r="Q111" i="4" s="1"/>
  <c r="B112" i="4"/>
  <c r="D112" i="4" s="1"/>
  <c r="Y112" i="4" s="1" a="1"/>
  <c r="Y112" i="4" s="1"/>
  <c r="E112" i="4"/>
  <c r="B113" i="4"/>
  <c r="E113" i="4" s="1"/>
  <c r="B114" i="4"/>
  <c r="G114" i="4" s="1"/>
  <c r="D114" i="4"/>
  <c r="Y114" i="4" s="1" a="1"/>
  <c r="Y114" i="4" s="1"/>
  <c r="B115" i="4"/>
  <c r="E115" i="4" s="1"/>
  <c r="D115" i="4"/>
  <c r="Y115" i="4" s="1" a="1"/>
  <c r="Y115" i="4" s="1"/>
  <c r="B116" i="4"/>
  <c r="D116" i="4" s="1"/>
  <c r="Y116" i="4" s="1" a="1"/>
  <c r="Y116" i="4" s="1"/>
  <c r="H116" i="4"/>
  <c r="B117" i="4"/>
  <c r="B118" i="4"/>
  <c r="J118" i="4"/>
  <c r="B119" i="4"/>
  <c r="D119" i="4" s="1"/>
  <c r="Y119" i="4" s="1" a="1"/>
  <c r="Y119" i="4" s="1"/>
  <c r="J119" i="4"/>
  <c r="B120" i="4"/>
  <c r="H120" i="4" s="1"/>
  <c r="E120" i="4"/>
  <c r="I120" i="4"/>
  <c r="P120" i="4" s="1"/>
  <c r="Q120" i="4" s="1"/>
  <c r="J120" i="4"/>
  <c r="B121" i="4"/>
  <c r="E121" i="4"/>
  <c r="G121" i="4"/>
  <c r="I121" i="4"/>
  <c r="B122" i="4"/>
  <c r="B123" i="4"/>
  <c r="B124" i="4"/>
  <c r="E124" i="4" s="1"/>
  <c r="D124" i="4"/>
  <c r="Y124" i="4" s="1" a="1"/>
  <c r="Y124" i="4" s="1"/>
  <c r="J124" i="4"/>
  <c r="V124" i="4" s="1" a="1"/>
  <c r="V124" i="4" s="1"/>
  <c r="B125" i="4"/>
  <c r="E125" i="4" s="1"/>
  <c r="B126" i="4"/>
  <c r="D126" i="4" s="1"/>
  <c r="Y126" i="4" s="1" a="1"/>
  <c r="Y126" i="4" s="1"/>
  <c r="B127" i="4"/>
  <c r="G127" i="4"/>
  <c r="B128" i="4"/>
  <c r="G128" i="4" s="1"/>
  <c r="B129" i="4"/>
  <c r="E129" i="4" s="1"/>
  <c r="D129" i="4"/>
  <c r="Y129" i="4" s="1" a="1"/>
  <c r="Y129" i="4" s="1"/>
  <c r="B130" i="4"/>
  <c r="E130" i="4" s="1"/>
  <c r="D130" i="4"/>
  <c r="Y130" i="4" s="1" a="1"/>
  <c r="Y130" i="4" s="1"/>
  <c r="B131" i="4"/>
  <c r="I131" i="4"/>
  <c r="O131" i="4" s="1"/>
  <c r="B132" i="4"/>
  <c r="G132" i="4" s="1"/>
  <c r="D132" i="4"/>
  <c r="H132" i="4"/>
  <c r="J132" i="4"/>
  <c r="B133" i="4"/>
  <c r="D133" i="4" s="1"/>
  <c r="Y133" i="4" s="1" a="1"/>
  <c r="Y133" i="4" s="1"/>
  <c r="E133" i="4"/>
  <c r="G133" i="4"/>
  <c r="H133" i="4"/>
  <c r="J133" i="4"/>
  <c r="B34" i="4"/>
  <c r="B33" i="4"/>
  <c r="E32" i="4"/>
  <c r="U32" i="4" s="1"/>
  <c r="B32" i="4"/>
  <c r="J32" i="4" s="1"/>
  <c r="B31" i="4"/>
  <c r="J31" i="4" s="1"/>
  <c r="B30" i="4"/>
  <c r="E30" i="4" s="1"/>
  <c r="B29" i="4"/>
  <c r="D29" i="4" s="1"/>
  <c r="B28" i="4"/>
  <c r="J28" i="4" s="1"/>
  <c r="D27" i="4"/>
  <c r="Y27" i="4" s="1" a="1"/>
  <c r="Y27" i="4" s="1"/>
  <c r="B27" i="4"/>
  <c r="B26" i="4"/>
  <c r="H26" i="4" s="1"/>
  <c r="B25" i="4"/>
  <c r="H25" i="4" s="1"/>
  <c r="I24" i="4"/>
  <c r="B24" i="4"/>
  <c r="J24" i="4" s="1"/>
  <c r="Q31" i="1"/>
  <c r="S31" i="1" s="1"/>
  <c r="Q32" i="1"/>
  <c r="S32" i="1" s="1"/>
  <c r="Q33" i="1"/>
  <c r="Q34" i="1"/>
  <c r="Q35" i="1"/>
  <c r="S35" i="1" s="1"/>
  <c r="Q36" i="1"/>
  <c r="S36" i="1" s="1"/>
  <c r="Q37" i="1"/>
  <c r="Q38" i="1"/>
  <c r="Q39" i="1"/>
  <c r="S39" i="1" s="1"/>
  <c r="Q40" i="1"/>
  <c r="S40" i="1" s="1"/>
  <c r="Q41" i="1"/>
  <c r="Q42" i="1"/>
  <c r="Q43" i="1"/>
  <c r="S43" i="1" s="1"/>
  <c r="Q44" i="1"/>
  <c r="S44" i="1" s="1"/>
  <c r="Q45" i="1"/>
  <c r="Q46" i="1"/>
  <c r="Q47" i="1"/>
  <c r="S47" i="1" s="1"/>
  <c r="Q48" i="1"/>
  <c r="S48" i="1" s="1"/>
  <c r="Q49" i="1"/>
  <c r="Q50" i="1"/>
  <c r="Q51" i="1"/>
  <c r="S51" i="1" s="1"/>
  <c r="Q52" i="1"/>
  <c r="S52" i="1" s="1"/>
  <c r="Q53" i="1"/>
  <c r="Q54" i="1"/>
  <c r="Q55" i="1"/>
  <c r="S55" i="1" s="1"/>
  <c r="Q56" i="1"/>
  <c r="S56" i="1" s="1"/>
  <c r="Q57" i="1"/>
  <c r="Q58" i="1"/>
  <c r="Q59" i="1"/>
  <c r="S59" i="1" s="1"/>
  <c r="Q60" i="1"/>
  <c r="S60" i="1" s="1"/>
  <c r="Q61" i="1"/>
  <c r="Q62" i="1"/>
  <c r="Q63" i="1"/>
  <c r="S63" i="1" s="1"/>
  <c r="Q64" i="1"/>
  <c r="S64" i="1" s="1"/>
  <c r="Q65" i="1"/>
  <c r="Q66" i="1"/>
  <c r="Q67" i="1"/>
  <c r="S67" i="1" s="1"/>
  <c r="Q68" i="1"/>
  <c r="S68" i="1" s="1"/>
  <c r="Q69" i="1"/>
  <c r="Q70" i="1"/>
  <c r="Q71" i="1"/>
  <c r="S71" i="1" s="1"/>
  <c r="Q72" i="1"/>
  <c r="S72" i="1" s="1"/>
  <c r="Q73" i="1"/>
  <c r="Q74" i="1"/>
  <c r="Q75" i="1"/>
  <c r="S75" i="1" s="1"/>
  <c r="Q76" i="1"/>
  <c r="S76" i="1" s="1"/>
  <c r="Q77" i="1"/>
  <c r="Q78" i="1"/>
  <c r="Q79" i="1"/>
  <c r="S79" i="1" s="1"/>
  <c r="Q80" i="1"/>
  <c r="S80" i="1" s="1"/>
  <c r="Q81" i="1"/>
  <c r="Q82" i="1"/>
  <c r="Q83" i="1"/>
  <c r="S83" i="1" s="1"/>
  <c r="Q84" i="1"/>
  <c r="S84" i="1" s="1"/>
  <c r="Q85" i="1"/>
  <c r="Q86" i="1"/>
  <c r="Q87" i="1"/>
  <c r="S87" i="1" s="1"/>
  <c r="Q88" i="1"/>
  <c r="S88" i="1" s="1"/>
  <c r="Q89" i="1"/>
  <c r="Q90" i="1"/>
  <c r="Q91" i="1"/>
  <c r="S91" i="1" s="1"/>
  <c r="Q92" i="1"/>
  <c r="S92" i="1" s="1"/>
  <c r="Q93" i="1"/>
  <c r="Q94" i="1"/>
  <c r="Q95" i="1"/>
  <c r="S95" i="1" s="1"/>
  <c r="Q96" i="1"/>
  <c r="S96" i="1" s="1"/>
  <c r="Q97" i="1"/>
  <c r="Q98" i="1"/>
  <c r="Q99" i="1"/>
  <c r="S99" i="1" s="1"/>
  <c r="Q100" i="1"/>
  <c r="S100" i="1" s="1"/>
  <c r="Q101" i="1"/>
  <c r="Q102" i="1"/>
  <c r="Q103" i="1"/>
  <c r="S103" i="1" s="1"/>
  <c r="Q104" i="1"/>
  <c r="S104" i="1" s="1"/>
  <c r="Q105" i="1"/>
  <c r="Q106" i="1"/>
  <c r="Q107" i="1"/>
  <c r="S107" i="1" s="1"/>
  <c r="Q108" i="1"/>
  <c r="S108" i="1" s="1"/>
  <c r="Q109" i="1"/>
  <c r="Q110" i="1"/>
  <c r="Q111" i="1"/>
  <c r="S111" i="1" s="1"/>
  <c r="Q112" i="1"/>
  <c r="S112" i="1" s="1"/>
  <c r="Q113" i="1"/>
  <c r="Q114" i="1"/>
  <c r="Q115" i="1"/>
  <c r="S115" i="1" s="1"/>
  <c r="Q116" i="1"/>
  <c r="S116" i="1" s="1"/>
  <c r="Q117" i="1"/>
  <c r="Q118" i="1"/>
  <c r="Q119" i="1"/>
  <c r="S119" i="1" s="1"/>
  <c r="Q120" i="1"/>
  <c r="S120" i="1" s="1"/>
  <c r="Q121" i="1"/>
  <c r="Q122" i="1"/>
  <c r="Q123" i="1"/>
  <c r="S123" i="1" s="1"/>
  <c r="Q124" i="1"/>
  <c r="S124" i="1" s="1"/>
  <c r="Q125" i="1"/>
  <c r="Q126" i="1"/>
  <c r="Q127" i="1"/>
  <c r="S127" i="1" s="1"/>
  <c r="Q128" i="1"/>
  <c r="S128" i="1" s="1"/>
  <c r="Q129" i="1"/>
  <c r="Q130" i="1"/>
  <c r="Q131" i="1"/>
  <c r="S131" i="1" s="1"/>
  <c r="Q132" i="1"/>
  <c r="S132" i="1" s="1"/>
  <c r="Q133" i="1"/>
  <c r="Q134" i="1"/>
  <c r="Q135" i="1"/>
  <c r="S135" i="1" s="1"/>
  <c r="Q136" i="1"/>
  <c r="S136" i="1" s="1"/>
  <c r="Q137" i="1"/>
  <c r="Q138" i="1"/>
  <c r="Q139" i="1"/>
  <c r="S139" i="1" s="1"/>
  <c r="Q140" i="1"/>
  <c r="S140" i="1" s="1"/>
  <c r="S33" i="1"/>
  <c r="S34" i="1"/>
  <c r="S37" i="1"/>
  <c r="S38" i="1"/>
  <c r="S41" i="1"/>
  <c r="S42" i="1"/>
  <c r="S45" i="1"/>
  <c r="S46" i="1"/>
  <c r="S49" i="1"/>
  <c r="S50" i="1"/>
  <c r="S53" i="1"/>
  <c r="S54" i="1"/>
  <c r="S57" i="1"/>
  <c r="S58" i="1"/>
  <c r="S61" i="1"/>
  <c r="S62" i="1"/>
  <c r="S65" i="1"/>
  <c r="S66" i="1"/>
  <c r="S69" i="1"/>
  <c r="S70" i="1"/>
  <c r="S73" i="1"/>
  <c r="S74" i="1"/>
  <c r="S77" i="1"/>
  <c r="S78" i="1"/>
  <c r="S81" i="1"/>
  <c r="S82" i="1"/>
  <c r="S85" i="1"/>
  <c r="S86" i="1"/>
  <c r="S89" i="1"/>
  <c r="S90" i="1"/>
  <c r="S93" i="1"/>
  <c r="S94" i="1"/>
  <c r="S97" i="1"/>
  <c r="S98" i="1"/>
  <c r="S101" i="1"/>
  <c r="S102" i="1"/>
  <c r="S105" i="1"/>
  <c r="S106" i="1"/>
  <c r="S109" i="1"/>
  <c r="S110" i="1"/>
  <c r="S113" i="1"/>
  <c r="S114" i="1"/>
  <c r="S117" i="1"/>
  <c r="S118" i="1"/>
  <c r="S121" i="1"/>
  <c r="S122" i="1"/>
  <c r="S125" i="1"/>
  <c r="S126" i="1"/>
  <c r="S129" i="1"/>
  <c r="S130" i="1"/>
  <c r="S133" i="1"/>
  <c r="S134" i="1"/>
  <c r="S137" i="1"/>
  <c r="S138"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T30" i="1"/>
  <c r="Q30" i="1"/>
  <c r="S30" i="1" s="1"/>
  <c r="I30" i="1"/>
  <c r="T29" i="1"/>
  <c r="Q29" i="1"/>
  <c r="S29" i="1" s="1"/>
  <c r="I29" i="1"/>
  <c r="T28" i="1"/>
  <c r="Q28" i="1"/>
  <c r="S28" i="1" s="1"/>
  <c r="I28" i="1"/>
  <c r="T27" i="1"/>
  <c r="Q27" i="1"/>
  <c r="S27" i="1" s="1"/>
  <c r="I27" i="1"/>
  <c r="F15" i="1"/>
  <c r="B15" i="1"/>
  <c r="I25" i="1"/>
  <c r="Q25" i="1"/>
  <c r="S25" i="1" s="1"/>
  <c r="T25" i="1"/>
  <c r="J30" i="4" l="1"/>
  <c r="H119" i="4"/>
  <c r="J112" i="4"/>
  <c r="I110" i="4"/>
  <c r="P110" i="4" s="1"/>
  <c r="Q110" i="4" s="1"/>
  <c r="I109" i="4"/>
  <c r="O109" i="4" s="1"/>
  <c r="G101" i="4"/>
  <c r="I83" i="4"/>
  <c r="J69" i="4"/>
  <c r="H53" i="4"/>
  <c r="D24" i="4"/>
  <c r="H110" i="4"/>
  <c r="H109" i="4"/>
  <c r="J101" i="4"/>
  <c r="I97" i="4"/>
  <c r="O97" i="4" s="1"/>
  <c r="I96" i="4"/>
  <c r="O96" i="4" s="1"/>
  <c r="S96" i="4" s="1" a="1"/>
  <c r="S96" i="4" s="1"/>
  <c r="H95" i="4"/>
  <c r="I85" i="4"/>
  <c r="O85" i="4" s="1"/>
  <c r="H83" i="4"/>
  <c r="G80" i="4"/>
  <c r="J72" i="4"/>
  <c r="H69" i="4"/>
  <c r="H68" i="4"/>
  <c r="G53" i="4"/>
  <c r="J50" i="4"/>
  <c r="I49" i="4"/>
  <c r="G42" i="4"/>
  <c r="H41" i="4"/>
  <c r="I125" i="4"/>
  <c r="P125" i="4" s="1"/>
  <c r="Q125" i="4" s="1"/>
  <c r="J68" i="4"/>
  <c r="I42" i="4"/>
  <c r="O42" i="4" s="1"/>
  <c r="J41" i="4"/>
  <c r="I130" i="4"/>
  <c r="P130" i="4" s="1"/>
  <c r="Q130" i="4" s="1"/>
  <c r="I129" i="4"/>
  <c r="P129" i="4" s="1"/>
  <c r="Q129" i="4" s="1"/>
  <c r="J128" i="4"/>
  <c r="G125" i="4"/>
  <c r="H124" i="4"/>
  <c r="G119" i="4"/>
  <c r="I115" i="4"/>
  <c r="O115" i="4" s="1"/>
  <c r="J114" i="4"/>
  <c r="I113" i="4"/>
  <c r="P113" i="4" s="1"/>
  <c r="Q113" i="4" s="1"/>
  <c r="H112" i="4"/>
  <c r="G107" i="4"/>
  <c r="J106" i="4"/>
  <c r="E101" i="4"/>
  <c r="F101" i="4" s="1"/>
  <c r="E24" i="4"/>
  <c r="U24" i="4" s="1"/>
  <c r="H130" i="4"/>
  <c r="G129" i="4"/>
  <c r="H126" i="4"/>
  <c r="D125" i="4"/>
  <c r="Y125" i="4" s="1" a="1"/>
  <c r="Y125" i="4" s="1"/>
  <c r="G124" i="4"/>
  <c r="E119" i="4"/>
  <c r="G115" i="4"/>
  <c r="H114" i="4"/>
  <c r="G113" i="4"/>
  <c r="G112" i="4"/>
  <c r="D110" i="4"/>
  <c r="G109" i="4"/>
  <c r="J107" i="4"/>
  <c r="H106" i="4"/>
  <c r="I101" i="4"/>
  <c r="P101" i="4" s="1"/>
  <c r="Q101" i="4" s="1"/>
  <c r="H97" i="4"/>
  <c r="H87" i="4"/>
  <c r="D83" i="4"/>
  <c r="Y83" i="4" s="1" a="1"/>
  <c r="Y83" i="4" s="1"/>
  <c r="J80" i="4"/>
  <c r="M80" i="4" s="1"/>
  <c r="H74" i="4"/>
  <c r="D72" i="4"/>
  <c r="Y72" i="4" s="1" a="1"/>
  <c r="Y72" i="4" s="1"/>
  <c r="G70" i="4"/>
  <c r="E69" i="4"/>
  <c r="D68" i="4"/>
  <c r="Y68" i="4" s="1" a="1"/>
  <c r="Y68" i="4" s="1"/>
  <c r="H63" i="4"/>
  <c r="E53" i="4"/>
  <c r="U53" i="4" s="1"/>
  <c r="G49" i="4"/>
  <c r="I44" i="4"/>
  <c r="O44" i="4" s="1"/>
  <c r="H43" i="4"/>
  <c r="E42" i="4"/>
  <c r="I36" i="4"/>
  <c r="M53" i="4"/>
  <c r="Y53" i="4" a="1"/>
  <c r="Y53" i="4" s="1"/>
  <c r="Y50" i="4" a="1"/>
  <c r="Y50" i="4" s="1"/>
  <c r="Y37" i="4" a="1"/>
  <c r="Y37" i="4" s="1"/>
  <c r="Y101" i="4" a="1"/>
  <c r="Y101" i="4" s="1"/>
  <c r="Y89" i="4" a="1"/>
  <c r="Y89" i="4" s="1"/>
  <c r="Y41" i="4" a="1"/>
  <c r="Y41" i="4" s="1"/>
  <c r="Y29" i="4" a="1"/>
  <c r="Y29" i="4" s="1"/>
  <c r="L40" i="4"/>
  <c r="Y132" i="4" a="1"/>
  <c r="Y132" i="4" s="1"/>
  <c r="Y80" i="4" a="1"/>
  <c r="Y80" i="4" s="1"/>
  <c r="Y64" i="4" a="1"/>
  <c r="Y64" i="4" s="1"/>
  <c r="Y52" i="4" a="1"/>
  <c r="Y52" i="4" s="1"/>
  <c r="Y40" i="4" a="1"/>
  <c r="Y40" i="4" s="1"/>
  <c r="Y24" i="4" a="1"/>
  <c r="Y24" i="4" s="1"/>
  <c r="Y71" i="4" a="1"/>
  <c r="Y71" i="4" s="1"/>
  <c r="J21" i="11" a="1"/>
  <c r="J21" i="11" s="1"/>
  <c r="I21" i="11" a="1"/>
  <c r="I21" i="11" s="1"/>
  <c r="J13" i="11" a="1"/>
  <c r="J13" i="11" s="1"/>
  <c r="I13" i="11" a="1"/>
  <c r="I13" i="11" s="1"/>
  <c r="J22" i="11" a="1"/>
  <c r="J22" i="11" s="1"/>
  <c r="I22" i="11" a="1"/>
  <c r="I22" i="11" s="1"/>
  <c r="J18" i="11" a="1"/>
  <c r="J18" i="11" s="1"/>
  <c r="I18" i="11" a="1"/>
  <c r="I18" i="11" s="1"/>
  <c r="J14" i="11" a="1"/>
  <c r="J14" i="11" s="1"/>
  <c r="I14" i="11" a="1"/>
  <c r="I14" i="11" s="1"/>
  <c r="J10" i="11" a="1"/>
  <c r="J10" i="11" s="1"/>
  <c r="I10" i="11" a="1"/>
  <c r="I10" i="11" s="1"/>
  <c r="J6" i="11" a="1"/>
  <c r="J6" i="11" s="1"/>
  <c r="I6" i="11" a="1"/>
  <c r="I6" i="11" s="1"/>
  <c r="J9" i="11" a="1"/>
  <c r="J9" i="11" s="1"/>
  <c r="I9" i="11" a="1"/>
  <c r="I9" i="11" s="1"/>
  <c r="J20" i="11" a="1"/>
  <c r="J20" i="11" s="1"/>
  <c r="I20" i="11" a="1"/>
  <c r="I20" i="11" s="1"/>
  <c r="J16" i="11" a="1"/>
  <c r="J16" i="11" s="1"/>
  <c r="I16" i="11" a="1"/>
  <c r="I16" i="11" s="1"/>
  <c r="J12" i="11" a="1"/>
  <c r="J12" i="11" s="1"/>
  <c r="I12" i="11" a="1"/>
  <c r="I12" i="11" s="1"/>
  <c r="J8" i="11" a="1"/>
  <c r="J8" i="11" s="1"/>
  <c r="I8" i="11" a="1"/>
  <c r="I8" i="11" s="1"/>
  <c r="J17" i="11" a="1"/>
  <c r="J17" i="11" s="1"/>
  <c r="I17" i="11" a="1"/>
  <c r="I17" i="11" s="1"/>
  <c r="J23" i="11" a="1"/>
  <c r="J23" i="11" s="1"/>
  <c r="I23" i="11" a="1"/>
  <c r="I23" i="11" s="1"/>
  <c r="J19" i="11" a="1"/>
  <c r="J19" i="11" s="1"/>
  <c r="I19" i="11" a="1"/>
  <c r="I19" i="11" s="1"/>
  <c r="J15" i="11" a="1"/>
  <c r="J15" i="11" s="1"/>
  <c r="I15" i="11" a="1"/>
  <c r="I15" i="11" s="1"/>
  <c r="J11" i="11" a="1"/>
  <c r="J11" i="11" s="1"/>
  <c r="I11" i="11" a="1"/>
  <c r="I11" i="11" s="1"/>
  <c r="J7" i="11" a="1"/>
  <c r="J7" i="11" s="1"/>
  <c r="I7" i="11" a="1"/>
  <c r="I7" i="11" s="1"/>
  <c r="V89" i="4" a="1"/>
  <c r="V89" i="4" s="1"/>
  <c r="N114" i="4"/>
  <c r="N55" i="4"/>
  <c r="N52" i="4"/>
  <c r="O40" i="4"/>
  <c r="C25" i="14"/>
  <c r="C21" i="14"/>
  <c r="C17" i="14"/>
  <c r="C13" i="14"/>
  <c r="C24" i="14"/>
  <c r="C20" i="14"/>
  <c r="C16" i="14"/>
  <c r="C12" i="14"/>
  <c r="C23" i="14"/>
  <c r="C19" i="14"/>
  <c r="C15" i="14"/>
  <c r="C11" i="14"/>
  <c r="C22" i="14"/>
  <c r="C18" i="14"/>
  <c r="C14" i="14"/>
  <c r="C10" i="14"/>
  <c r="M110" i="4"/>
  <c r="V110" i="4" a="1"/>
  <c r="V110" i="4" s="1"/>
  <c r="V133" i="4" a="1"/>
  <c r="V133" i="4" s="1"/>
  <c r="V87" i="4" a="1"/>
  <c r="V87" i="4" s="1"/>
  <c r="N69" i="4"/>
  <c r="U60" i="4"/>
  <c r="V44" i="4" a="1"/>
  <c r="V44" i="4" s="1"/>
  <c r="V120" i="4" a="1"/>
  <c r="V120" i="4" s="1"/>
  <c r="P97" i="4"/>
  <c r="Q97" i="4" s="1"/>
  <c r="R115" i="4" a="1"/>
  <c r="R115" i="4" s="1"/>
  <c r="S115" i="4" a="1"/>
  <c r="S115" i="4" s="1"/>
  <c r="E82" i="4"/>
  <c r="F82" i="4" s="1"/>
  <c r="J82" i="4"/>
  <c r="H82" i="4"/>
  <c r="I47" i="4"/>
  <c r="P47" i="4" s="1"/>
  <c r="Q47" i="4" s="1"/>
  <c r="E47" i="4"/>
  <c r="H122" i="4"/>
  <c r="I102" i="4"/>
  <c r="O102" i="4" s="1"/>
  <c r="X85" i="4" a="1"/>
  <c r="X85" i="4" s="1"/>
  <c r="D79" i="4"/>
  <c r="G79" i="4"/>
  <c r="D57" i="4"/>
  <c r="E57" i="4"/>
  <c r="U57" i="4" s="1"/>
  <c r="G57" i="4"/>
  <c r="D45" i="4"/>
  <c r="E45" i="4"/>
  <c r="H45" i="4"/>
  <c r="H29" i="4"/>
  <c r="I32" i="4"/>
  <c r="P32" i="4" s="1"/>
  <c r="Q32" i="4" s="1"/>
  <c r="I133" i="4"/>
  <c r="X133" i="4" s="1" a="1"/>
  <c r="X133" i="4" s="1"/>
  <c r="G131" i="4"/>
  <c r="J130" i="4"/>
  <c r="V130" i="4" s="1" a="1"/>
  <c r="V130" i="4" s="1"/>
  <c r="H129" i="4"/>
  <c r="H125" i="4"/>
  <c r="G122" i="4"/>
  <c r="D120" i="4"/>
  <c r="I119" i="4"/>
  <c r="O119" i="4" s="1"/>
  <c r="R119" i="4" s="1" a="1"/>
  <c r="R119" i="4" s="1"/>
  <c r="G118" i="4"/>
  <c r="J116" i="4"/>
  <c r="H115" i="4"/>
  <c r="T115" i="4" s="1"/>
  <c r="M114" i="4"/>
  <c r="I112" i="4"/>
  <c r="G111" i="4"/>
  <c r="N110" i="4"/>
  <c r="D104" i="4"/>
  <c r="Y104" i="4" s="1" a="1"/>
  <c r="Y104" i="4" s="1"/>
  <c r="I104" i="4"/>
  <c r="X104" i="4" s="1" a="1"/>
  <c r="X104" i="4" s="1"/>
  <c r="D98" i="4"/>
  <c r="I95" i="4"/>
  <c r="M89" i="4"/>
  <c r="E84" i="4"/>
  <c r="U84" i="4" s="1"/>
  <c r="I84" i="4"/>
  <c r="P84" i="4" s="1"/>
  <c r="Q84" i="4" s="1"/>
  <c r="N83" i="4"/>
  <c r="I82" i="4"/>
  <c r="P82" i="4" s="1"/>
  <c r="Q82" i="4" s="1"/>
  <c r="E81" i="4"/>
  <c r="U81" i="4" s="1"/>
  <c r="G81" i="4"/>
  <c r="F69" i="4"/>
  <c r="U69" i="4"/>
  <c r="N68" i="4"/>
  <c r="M68" i="4"/>
  <c r="D66" i="4"/>
  <c r="E66" i="4"/>
  <c r="U66" i="4" s="1"/>
  <c r="H66" i="4"/>
  <c r="D59" i="4"/>
  <c r="Y59" i="4" s="1" a="1"/>
  <c r="Y59" i="4" s="1"/>
  <c r="G59" i="4"/>
  <c r="M44" i="4"/>
  <c r="E131" i="4"/>
  <c r="S131" i="4" s="1" a="1"/>
  <c r="S131" i="4" s="1"/>
  <c r="L130" i="4"/>
  <c r="J122" i="4"/>
  <c r="D122" i="4"/>
  <c r="Y122" i="4" s="1" a="1"/>
  <c r="Y122" i="4" s="1"/>
  <c r="E111" i="4"/>
  <c r="U111" i="4" s="1"/>
  <c r="W107" i="4" a="1"/>
  <c r="W107" i="4" s="1"/>
  <c r="E95" i="4"/>
  <c r="F95" i="4" s="1"/>
  <c r="J95" i="4"/>
  <c r="E94" i="4"/>
  <c r="F94" i="4" s="1"/>
  <c r="J94" i="4"/>
  <c r="N94" i="4" s="1"/>
  <c r="P85" i="4"/>
  <c r="Q85" i="4" s="1"/>
  <c r="L85" i="4"/>
  <c r="G82" i="4"/>
  <c r="V80" i="4" a="1"/>
  <c r="V80" i="4" s="1"/>
  <c r="I79" i="4"/>
  <c r="J78" i="4"/>
  <c r="D78" i="4"/>
  <c r="H48" i="4"/>
  <c r="D48" i="4"/>
  <c r="Y48" i="4" s="1" a="1"/>
  <c r="Y48" i="4" s="1"/>
  <c r="I48" i="4"/>
  <c r="E48" i="4"/>
  <c r="F48" i="4" s="1"/>
  <c r="J48" i="4"/>
  <c r="V119" i="4" a="1"/>
  <c r="V119" i="4" s="1"/>
  <c r="O129" i="4"/>
  <c r="S129" i="4" s="1" a="1"/>
  <c r="S129" i="4" s="1"/>
  <c r="X120" i="4" a="1"/>
  <c r="X120" i="4" s="1"/>
  <c r="D32" i="4"/>
  <c r="J129" i="4"/>
  <c r="V129" i="4" s="1" a="1"/>
  <c r="V129" i="4" s="1"/>
  <c r="J125" i="4"/>
  <c r="W125" i="4" s="1" a="1"/>
  <c r="W125" i="4" s="1"/>
  <c r="G117" i="4"/>
  <c r="J115" i="4"/>
  <c r="V115" i="4" s="1" a="1"/>
  <c r="V115" i="4" s="1"/>
  <c r="E109" i="4"/>
  <c r="U109" i="4" s="1"/>
  <c r="J109" i="4"/>
  <c r="W109" i="4" s="1" a="1"/>
  <c r="W109" i="4" s="1"/>
  <c r="E106" i="4"/>
  <c r="V106" i="4" s="1" a="1"/>
  <c r="V106" i="4" s="1"/>
  <c r="D106" i="4"/>
  <c r="Y106" i="4" s="1" a="1"/>
  <c r="Y106" i="4" s="1"/>
  <c r="E102" i="4"/>
  <c r="U102" i="4" s="1"/>
  <c r="I99" i="4"/>
  <c r="P99" i="4" s="1"/>
  <c r="Q99" i="4" s="1"/>
  <c r="I98" i="4"/>
  <c r="P98" i="4" s="1"/>
  <c r="Q98" i="4" s="1"/>
  <c r="E97" i="4"/>
  <c r="R97" i="4" s="1" a="1"/>
  <c r="R97" i="4" s="1"/>
  <c r="J97" i="4"/>
  <c r="X97" i="4" s="1" a="1"/>
  <c r="X97" i="4" s="1"/>
  <c r="F96" i="4"/>
  <c r="U96" i="4"/>
  <c r="G95" i="4"/>
  <c r="H94" i="4"/>
  <c r="D86" i="4"/>
  <c r="Y86" i="4" s="1" a="1"/>
  <c r="Y86" i="4" s="1"/>
  <c r="E86" i="4"/>
  <c r="J86" i="4"/>
  <c r="H85" i="4"/>
  <c r="E85" i="4"/>
  <c r="U85" i="4" s="1"/>
  <c r="D82" i="4"/>
  <c r="E79" i="4"/>
  <c r="I57" i="4"/>
  <c r="O57" i="4" s="1"/>
  <c r="R57" i="4" s="1" a="1"/>
  <c r="R57" i="4" s="1"/>
  <c r="G47" i="4"/>
  <c r="H46" i="4"/>
  <c r="D46" i="4"/>
  <c r="I46" i="4"/>
  <c r="E46" i="4"/>
  <c r="U46" i="4" s="1"/>
  <c r="J46" i="4"/>
  <c r="X44" i="4" a="1"/>
  <c r="X44" i="4" s="1"/>
  <c r="L44" i="4"/>
  <c r="P44" i="4"/>
  <c r="Q44" i="4" s="1"/>
  <c r="W44" i="4" a="1"/>
  <c r="W44" i="4" s="1"/>
  <c r="I89" i="4"/>
  <c r="X89" i="4" s="1" a="1"/>
  <c r="X89" i="4" s="1"/>
  <c r="I87" i="4"/>
  <c r="X87" i="4" s="1" a="1"/>
  <c r="X87" i="4" s="1"/>
  <c r="D74" i="4"/>
  <c r="J71" i="4"/>
  <c r="D70" i="4"/>
  <c r="I69" i="4"/>
  <c r="P69" i="4" s="1"/>
  <c r="Q69" i="4" s="1"/>
  <c r="G62" i="4"/>
  <c r="I61" i="4"/>
  <c r="H60" i="4"/>
  <c r="I53" i="4"/>
  <c r="E49" i="4"/>
  <c r="H44" i="4"/>
  <c r="D43" i="4"/>
  <c r="M40" i="4"/>
  <c r="E38" i="4"/>
  <c r="F38" i="4" s="1"/>
  <c r="H37" i="4"/>
  <c r="J36" i="4"/>
  <c r="V36" i="4" s="1" a="1"/>
  <c r="V36" i="4" s="1"/>
  <c r="N72" i="4"/>
  <c r="V83" i="4" a="1"/>
  <c r="V83" i="4" s="1"/>
  <c r="G75" i="4"/>
  <c r="H71" i="4"/>
  <c r="M133" i="4"/>
  <c r="N133" i="4"/>
  <c r="U130" i="4"/>
  <c r="F130" i="4"/>
  <c r="H128" i="4"/>
  <c r="I127" i="4"/>
  <c r="I126" i="4"/>
  <c r="F124" i="4"/>
  <c r="U124" i="4"/>
  <c r="F129" i="4"/>
  <c r="U129" i="4"/>
  <c r="E128" i="4"/>
  <c r="I128" i="4"/>
  <c r="D127" i="4"/>
  <c r="Y127" i="4" s="1" a="1"/>
  <c r="Y127" i="4" s="1"/>
  <c r="H127" i="4"/>
  <c r="J127" i="4"/>
  <c r="G126" i="4"/>
  <c r="P121" i="4"/>
  <c r="Q121" i="4" s="1"/>
  <c r="W115" i="4" a="1"/>
  <c r="W115" i="4" s="1"/>
  <c r="N132" i="4"/>
  <c r="P131" i="4"/>
  <c r="Q131" i="4" s="1"/>
  <c r="O130" i="4"/>
  <c r="L129" i="4"/>
  <c r="J126" i="4"/>
  <c r="F125" i="4"/>
  <c r="U125" i="4"/>
  <c r="M124" i="4"/>
  <c r="N124" i="4"/>
  <c r="E123" i="4"/>
  <c r="I123" i="4"/>
  <c r="D123" i="4"/>
  <c r="Y123" i="4" s="1" a="1"/>
  <c r="Y123" i="4" s="1"/>
  <c r="H123" i="4"/>
  <c r="J123" i="4"/>
  <c r="O121" i="4"/>
  <c r="O120" i="4"/>
  <c r="F133" i="4"/>
  <c r="U133" i="4"/>
  <c r="M132" i="4"/>
  <c r="E132" i="4"/>
  <c r="I132" i="4"/>
  <c r="D131" i="4"/>
  <c r="Y131" i="4" s="1" a="1"/>
  <c r="Y131" i="4" s="1"/>
  <c r="H131" i="4"/>
  <c r="J131" i="4"/>
  <c r="W131" i="4" s="1" a="1"/>
  <c r="W131" i="4" s="1"/>
  <c r="G130" i="4"/>
  <c r="D128" i="4"/>
  <c r="Y128" i="4" s="1" a="1"/>
  <c r="Y128" i="4" s="1"/>
  <c r="E127" i="4"/>
  <c r="E126" i="4"/>
  <c r="O125" i="4"/>
  <c r="N125" i="4"/>
  <c r="G123" i="4"/>
  <c r="F121" i="4"/>
  <c r="U121" i="4"/>
  <c r="W120" i="4" a="1"/>
  <c r="W120" i="4" s="1"/>
  <c r="P119" i="4"/>
  <c r="Q119" i="4" s="1"/>
  <c r="M119" i="4"/>
  <c r="N119" i="4"/>
  <c r="M116" i="4"/>
  <c r="N116" i="4"/>
  <c r="I124" i="4"/>
  <c r="U120" i="4"/>
  <c r="F120" i="4"/>
  <c r="H118" i="4"/>
  <c r="I117" i="4"/>
  <c r="I116" i="4"/>
  <c r="X115" i="4" a="1"/>
  <c r="X115" i="4" s="1"/>
  <c r="M115" i="4"/>
  <c r="N115" i="4"/>
  <c r="U113" i="4"/>
  <c r="F113" i="4"/>
  <c r="P112" i="4"/>
  <c r="Q112" i="4" s="1"/>
  <c r="F112" i="4"/>
  <c r="U112" i="4"/>
  <c r="U110" i="4"/>
  <c r="F110" i="4"/>
  <c r="D108" i="4"/>
  <c r="Y108" i="4" s="1" a="1"/>
  <c r="Y108" i="4" s="1"/>
  <c r="H108" i="4"/>
  <c r="J108" i="4"/>
  <c r="V108" i="4" s="1" a="1"/>
  <c r="V108" i="4" s="1"/>
  <c r="F107" i="4"/>
  <c r="U107" i="4"/>
  <c r="V107" i="4" a="1"/>
  <c r="V107" i="4" s="1"/>
  <c r="M106" i="4"/>
  <c r="N106" i="4"/>
  <c r="D105" i="4"/>
  <c r="Y105" i="4" s="1" a="1"/>
  <c r="Y105" i="4" s="1"/>
  <c r="H105" i="4"/>
  <c r="J105" i="4"/>
  <c r="E105" i="4"/>
  <c r="I105" i="4"/>
  <c r="F102" i="4"/>
  <c r="F119" i="4"/>
  <c r="U119" i="4"/>
  <c r="E118" i="4"/>
  <c r="I118" i="4"/>
  <c r="D117" i="4"/>
  <c r="Y117" i="4" s="1" a="1"/>
  <c r="Y117" i="4" s="1"/>
  <c r="H117" i="4"/>
  <c r="J117" i="4"/>
  <c r="G116" i="4"/>
  <c r="O113" i="4"/>
  <c r="M112" i="4"/>
  <c r="N112" i="4"/>
  <c r="O111" i="4"/>
  <c r="X110" i="4" a="1"/>
  <c r="X110" i="4" s="1"/>
  <c r="P109" i="4"/>
  <c r="Q109" i="4" s="1"/>
  <c r="F109" i="4"/>
  <c r="U108" i="4"/>
  <c r="X107" i="4" a="1"/>
  <c r="X107" i="4" s="1"/>
  <c r="O107" i="4"/>
  <c r="M107" i="4"/>
  <c r="N107" i="4"/>
  <c r="L110" i="4"/>
  <c r="O110" i="4"/>
  <c r="D103" i="4"/>
  <c r="Y103" i="4" s="1" a="1"/>
  <c r="Y103" i="4" s="1"/>
  <c r="H103" i="4"/>
  <c r="J103" i="4"/>
  <c r="E103" i="4"/>
  <c r="I103" i="4"/>
  <c r="G103" i="4"/>
  <c r="M101" i="4"/>
  <c r="W101" i="4" a="1"/>
  <c r="W101" i="4" s="1"/>
  <c r="E122" i="4"/>
  <c r="I122" i="4"/>
  <c r="D121" i="4"/>
  <c r="Y121" i="4" s="1" a="1"/>
  <c r="Y121" i="4" s="1"/>
  <c r="H121" i="4"/>
  <c r="J121" i="4"/>
  <c r="G120" i="4"/>
  <c r="D118" i="4"/>
  <c r="Y118" i="4" s="1" a="1"/>
  <c r="Y118" i="4" s="1"/>
  <c r="E117" i="4"/>
  <c r="E116" i="4"/>
  <c r="P115" i="4"/>
  <c r="Q115" i="4" s="1"/>
  <c r="F115" i="4"/>
  <c r="U115" i="4"/>
  <c r="E114" i="4"/>
  <c r="I114" i="4"/>
  <c r="D113" i="4"/>
  <c r="Y113" i="4" s="1" a="1"/>
  <c r="Y113" i="4" s="1"/>
  <c r="H113" i="4"/>
  <c r="J113" i="4"/>
  <c r="V112" i="4" a="1"/>
  <c r="V112" i="4" s="1"/>
  <c r="D111" i="4"/>
  <c r="Y111" i="4" s="1" a="1"/>
  <c r="Y111" i="4" s="1"/>
  <c r="H111" i="4"/>
  <c r="J111" i="4"/>
  <c r="W110" i="4" a="1"/>
  <c r="W110" i="4" s="1"/>
  <c r="G110" i="4"/>
  <c r="I108" i="4"/>
  <c r="X101" i="4" a="1"/>
  <c r="X101" i="4" s="1"/>
  <c r="G100" i="4"/>
  <c r="U97" i="4"/>
  <c r="U95" i="4"/>
  <c r="D93" i="4"/>
  <c r="Y93" i="4" s="1" a="1"/>
  <c r="Y93" i="4" s="1"/>
  <c r="H93" i="4"/>
  <c r="J93" i="4"/>
  <c r="E93" i="4"/>
  <c r="I93" i="4"/>
  <c r="F90" i="4"/>
  <c r="U90" i="4"/>
  <c r="F81" i="4"/>
  <c r="L97" i="4"/>
  <c r="N97" i="4"/>
  <c r="N95" i="4"/>
  <c r="G93" i="4"/>
  <c r="X92" i="4" a="1"/>
  <c r="X92" i="4" s="1"/>
  <c r="M92" i="4"/>
  <c r="N92" i="4"/>
  <c r="V104" i="4" a="1"/>
  <c r="V104" i="4" s="1"/>
  <c r="J102" i="4"/>
  <c r="H102" i="4"/>
  <c r="D102" i="4"/>
  <c r="Y102" i="4" s="1" a="1"/>
  <c r="Y102" i="4" s="1"/>
  <c r="V101" i="4" a="1"/>
  <c r="V101" i="4" s="1"/>
  <c r="O101" i="4"/>
  <c r="L101" i="4"/>
  <c r="I100" i="4"/>
  <c r="E100" i="4"/>
  <c r="D99" i="4"/>
  <c r="Y99" i="4" s="1" a="1"/>
  <c r="Y99" i="4" s="1"/>
  <c r="H99" i="4"/>
  <c r="J99" i="4"/>
  <c r="V99" i="4" s="1" a="1"/>
  <c r="V99" i="4" s="1"/>
  <c r="G98" i="4"/>
  <c r="P96" i="4"/>
  <c r="Q96" i="4" s="1"/>
  <c r="M95" i="4"/>
  <c r="W92" i="4" a="1"/>
  <c r="W92" i="4" s="1"/>
  <c r="D91" i="4"/>
  <c r="Y91" i="4" s="1" a="1"/>
  <c r="Y91" i="4" s="1"/>
  <c r="H91" i="4"/>
  <c r="J91" i="4"/>
  <c r="E91" i="4"/>
  <c r="I91" i="4"/>
  <c r="G91" i="4"/>
  <c r="I106" i="4"/>
  <c r="U104" i="4"/>
  <c r="G102" i="4"/>
  <c r="U101" i="4"/>
  <c r="N101" i="4"/>
  <c r="J100" i="4"/>
  <c r="H100" i="4"/>
  <c r="U99" i="4"/>
  <c r="U98" i="4"/>
  <c r="J98" i="4"/>
  <c r="V98" i="4" s="1" a="1"/>
  <c r="V98" i="4" s="1"/>
  <c r="F98" i="4"/>
  <c r="R96" i="4" a="1"/>
  <c r="R96" i="4" s="1"/>
  <c r="D96" i="4"/>
  <c r="Y96" i="4" s="1" a="1"/>
  <c r="Y96" i="4" s="1"/>
  <c r="H96" i="4"/>
  <c r="T96" i="4" s="1"/>
  <c r="J96" i="4"/>
  <c r="V95" i="4" a="1"/>
  <c r="V95" i="4" s="1"/>
  <c r="O90" i="4"/>
  <c r="P90" i="4"/>
  <c r="Q90" i="4" s="1"/>
  <c r="D88" i="4"/>
  <c r="Y88" i="4" s="1" a="1"/>
  <c r="Y88" i="4" s="1"/>
  <c r="H88" i="4"/>
  <c r="J88" i="4"/>
  <c r="N85" i="4"/>
  <c r="U83" i="4"/>
  <c r="M83" i="4"/>
  <c r="X80" i="4" a="1"/>
  <c r="X80" i="4" s="1"/>
  <c r="L80" i="4"/>
  <c r="P80" i="4"/>
  <c r="Q80" i="4" s="1"/>
  <c r="F87" i="4"/>
  <c r="U87" i="4"/>
  <c r="O83" i="4"/>
  <c r="W83" i="4" a="1"/>
  <c r="W83" i="4" s="1"/>
  <c r="P83" i="4"/>
  <c r="Q83" i="4" s="1"/>
  <c r="X83" i="4" a="1"/>
  <c r="X83" i="4" s="1"/>
  <c r="X82" i="4" a="1"/>
  <c r="X82" i="4" s="1"/>
  <c r="D81" i="4"/>
  <c r="Y81" i="4" s="1" a="1"/>
  <c r="Y81" i="4" s="1"/>
  <c r="H81" i="4"/>
  <c r="J81" i="4"/>
  <c r="I81" i="4"/>
  <c r="P79" i="4"/>
  <c r="Q79" i="4" s="1"/>
  <c r="O79" i="4"/>
  <c r="V92" i="4" a="1"/>
  <c r="V92" i="4" s="1"/>
  <c r="O92" i="4"/>
  <c r="J90" i="4"/>
  <c r="H90" i="4"/>
  <c r="D90" i="4"/>
  <c r="Y90" i="4" s="1" a="1"/>
  <c r="Y90" i="4" s="1"/>
  <c r="U89" i="4"/>
  <c r="N89" i="4"/>
  <c r="E88" i="4"/>
  <c r="N87" i="4"/>
  <c r="I86" i="4"/>
  <c r="W85" i="4" a="1"/>
  <c r="W85" i="4" s="1"/>
  <c r="V85" i="4" a="1"/>
  <c r="V85" i="4" s="1"/>
  <c r="W80" i="4" a="1"/>
  <c r="W80" i="4" s="1"/>
  <c r="O80" i="4"/>
  <c r="I94" i="4"/>
  <c r="U92" i="4"/>
  <c r="G90" i="4"/>
  <c r="I88" i="4"/>
  <c r="G86" i="4"/>
  <c r="F84" i="4"/>
  <c r="F79" i="4"/>
  <c r="U79" i="4"/>
  <c r="G77" i="4"/>
  <c r="E77" i="4"/>
  <c r="I77" i="4"/>
  <c r="S75" i="4" a="1"/>
  <c r="S75" i="4" s="1"/>
  <c r="R75" i="4" a="1"/>
  <c r="R75" i="4" s="1"/>
  <c r="F80" i="4"/>
  <c r="U80" i="4"/>
  <c r="H77" i="4"/>
  <c r="M76" i="4"/>
  <c r="E76" i="4"/>
  <c r="I76" i="4"/>
  <c r="G76" i="4"/>
  <c r="F75" i="4"/>
  <c r="U75" i="4"/>
  <c r="G74" i="4"/>
  <c r="E74" i="4"/>
  <c r="I74" i="4"/>
  <c r="J73" i="4"/>
  <c r="G65" i="4"/>
  <c r="E65" i="4"/>
  <c r="J65" i="4"/>
  <c r="D65" i="4"/>
  <c r="Y65" i="4" s="1" a="1"/>
  <c r="Y65" i="4" s="1"/>
  <c r="I65" i="4"/>
  <c r="E73" i="4"/>
  <c r="I73" i="4"/>
  <c r="G73" i="4"/>
  <c r="G67" i="4"/>
  <c r="E67" i="4"/>
  <c r="J67" i="4"/>
  <c r="D67" i="4"/>
  <c r="Y67" i="4" s="1" a="1"/>
  <c r="Y67" i="4" s="1"/>
  <c r="I67" i="4"/>
  <c r="F64" i="4"/>
  <c r="D84" i="4"/>
  <c r="Y84" i="4" s="1" a="1"/>
  <c r="Y84" i="4" s="1"/>
  <c r="H84" i="4"/>
  <c r="J84" i="4"/>
  <c r="G83" i="4"/>
  <c r="E78" i="4"/>
  <c r="I78" i="4"/>
  <c r="G78" i="4"/>
  <c r="J77" i="4"/>
  <c r="D77" i="4"/>
  <c r="Y77" i="4" s="1" a="1"/>
  <c r="Y77" i="4" s="1"/>
  <c r="N76" i="4"/>
  <c r="P75" i="4"/>
  <c r="Q75" i="4" s="1"/>
  <c r="L75" i="4"/>
  <c r="H73" i="4"/>
  <c r="M72" i="4"/>
  <c r="G72" i="4"/>
  <c r="E72" i="4"/>
  <c r="I72" i="4"/>
  <c r="E70" i="4"/>
  <c r="I70" i="4"/>
  <c r="H70" i="4"/>
  <c r="F66" i="4"/>
  <c r="V69" i="4" a="1"/>
  <c r="V69" i="4" s="1"/>
  <c r="J66" i="4"/>
  <c r="J64" i="4"/>
  <c r="M64" i="4" s="1"/>
  <c r="I63" i="4"/>
  <c r="H62" i="4"/>
  <c r="J60" i="4"/>
  <c r="V60" i="4" s="1" a="1"/>
  <c r="V60" i="4" s="1"/>
  <c r="H58" i="4"/>
  <c r="J56" i="4"/>
  <c r="H54" i="4"/>
  <c r="F53" i="4"/>
  <c r="V53" i="4" a="1"/>
  <c r="V53" i="4" s="1"/>
  <c r="E52" i="4"/>
  <c r="I52" i="4"/>
  <c r="G52" i="4"/>
  <c r="J51" i="4"/>
  <c r="N50" i="4"/>
  <c r="O49" i="4"/>
  <c r="G63" i="4"/>
  <c r="E62" i="4"/>
  <c r="I62" i="4"/>
  <c r="F61" i="4"/>
  <c r="V61" i="4" a="1"/>
  <c r="V61" i="4" s="1"/>
  <c r="G56" i="4"/>
  <c r="E56" i="4"/>
  <c r="I56" i="4"/>
  <c r="G51" i="4"/>
  <c r="E51" i="4"/>
  <c r="I51" i="4"/>
  <c r="M50" i="4"/>
  <c r="N80" i="4"/>
  <c r="J79" i="4"/>
  <c r="H79" i="4"/>
  <c r="J75" i="4"/>
  <c r="W75" i="4" s="1" a="1"/>
  <c r="W75" i="4" s="1"/>
  <c r="H75" i="4"/>
  <c r="I71" i="4"/>
  <c r="E71" i="4"/>
  <c r="G69" i="4"/>
  <c r="E68" i="4"/>
  <c r="I68" i="4"/>
  <c r="I66" i="4"/>
  <c r="I64" i="4"/>
  <c r="J63" i="4"/>
  <c r="N63" i="4" s="1"/>
  <c r="N61" i="4"/>
  <c r="I60" i="4"/>
  <c r="H59" i="4"/>
  <c r="J58" i="4"/>
  <c r="F57" i="4"/>
  <c r="H56" i="4"/>
  <c r="M55" i="4"/>
  <c r="E55" i="4"/>
  <c r="I55" i="4"/>
  <c r="G55" i="4"/>
  <c r="J54" i="4"/>
  <c r="E50" i="4"/>
  <c r="I50" i="4"/>
  <c r="G50" i="4"/>
  <c r="G66" i="4"/>
  <c r="G64" i="4"/>
  <c r="E63" i="4"/>
  <c r="D62" i="4"/>
  <c r="Y62" i="4" s="1" a="1"/>
  <c r="Y62" i="4" s="1"/>
  <c r="G60" i="4"/>
  <c r="E59" i="4"/>
  <c r="I59" i="4"/>
  <c r="E58" i="4"/>
  <c r="I58" i="4"/>
  <c r="G58" i="4"/>
  <c r="G54" i="4"/>
  <c r="E54" i="4"/>
  <c r="I54" i="4"/>
  <c r="M52" i="4"/>
  <c r="P49" i="4"/>
  <c r="Q49" i="4" s="1"/>
  <c r="L49" i="4"/>
  <c r="J57" i="4"/>
  <c r="H57" i="4"/>
  <c r="N53" i="4"/>
  <c r="J49" i="4"/>
  <c r="H49" i="4"/>
  <c r="D47" i="4"/>
  <c r="Y47" i="4" s="1" a="1"/>
  <c r="Y47" i="4" s="1"/>
  <c r="H47" i="4"/>
  <c r="J47" i="4"/>
  <c r="J45" i="4"/>
  <c r="P42" i="4"/>
  <c r="Q42" i="4" s="1"/>
  <c r="L42" i="4"/>
  <c r="N41" i="4"/>
  <c r="F40" i="4"/>
  <c r="U40" i="4"/>
  <c r="M37" i="4"/>
  <c r="F46" i="4"/>
  <c r="F44" i="4"/>
  <c r="U44" i="4"/>
  <c r="R42" i="4" a="1"/>
  <c r="R42" i="4" s="1"/>
  <c r="S42" i="4" a="1"/>
  <c r="S42" i="4" s="1"/>
  <c r="M41" i="4"/>
  <c r="S40" i="4" a="1"/>
  <c r="S40" i="4" s="1"/>
  <c r="T40" i="4" s="1"/>
  <c r="R40" i="4" a="1"/>
  <c r="R40" i="4" s="1"/>
  <c r="P40" i="4"/>
  <c r="Q40" i="4" s="1"/>
  <c r="W40" i="4" a="1"/>
  <c r="W40" i="4" s="1"/>
  <c r="X40" i="4" a="1"/>
  <c r="X40" i="4" s="1"/>
  <c r="O47" i="4"/>
  <c r="I45" i="4"/>
  <c r="S44" i="4" a="1"/>
  <c r="S44" i="4" s="1"/>
  <c r="T44" i="4" s="1"/>
  <c r="R44" i="4" a="1"/>
  <c r="R44" i="4" s="1"/>
  <c r="G43" i="4"/>
  <c r="E43" i="4"/>
  <c r="I43" i="4"/>
  <c r="F42" i="4"/>
  <c r="U42" i="4"/>
  <c r="E41" i="4"/>
  <c r="I41" i="4"/>
  <c r="G41" i="4"/>
  <c r="G39" i="4"/>
  <c r="D39" i="4"/>
  <c r="Y39" i="4" s="1" a="1"/>
  <c r="Y39" i="4" s="1"/>
  <c r="H39" i="4"/>
  <c r="J39" i="4"/>
  <c r="E39" i="4"/>
  <c r="I39" i="4"/>
  <c r="G45" i="4"/>
  <c r="O38" i="4"/>
  <c r="P38" i="4"/>
  <c r="Q38" i="4" s="1"/>
  <c r="L38" i="4"/>
  <c r="F37" i="4"/>
  <c r="U37" i="4"/>
  <c r="V37" i="4" a="1"/>
  <c r="V37" i="4" s="1"/>
  <c r="N44" i="4"/>
  <c r="J42" i="4"/>
  <c r="H42" i="4"/>
  <c r="N40" i="4"/>
  <c r="J38" i="4"/>
  <c r="H38" i="4"/>
  <c r="G37" i="4"/>
  <c r="X36" i="4" a="1"/>
  <c r="X36" i="4" s="1"/>
  <c r="U36" i="4"/>
  <c r="I35" i="4"/>
  <c r="E35" i="4"/>
  <c r="N37" i="4"/>
  <c r="J35" i="4"/>
  <c r="H35" i="4"/>
  <c r="D35" i="4"/>
  <c r="Y35" i="4" s="1" a="1"/>
  <c r="Y35" i="4" s="1"/>
  <c r="I37" i="4"/>
  <c r="W36" i="4" a="1"/>
  <c r="W36" i="4" s="1"/>
  <c r="P36" i="4"/>
  <c r="Q36" i="4" s="1"/>
  <c r="H36" i="4"/>
  <c r="G35" i="4"/>
  <c r="O36" i="4"/>
  <c r="G31" i="4"/>
  <c r="W32" i="4" a="1"/>
  <c r="W32" i="4" s="1"/>
  <c r="G34" i="4"/>
  <c r="J34" i="4"/>
  <c r="E34" i="4"/>
  <c r="I34" i="4"/>
  <c r="D34" i="4"/>
  <c r="Y34" i="4" s="1" a="1"/>
  <c r="Y34" i="4" s="1"/>
  <c r="O24" i="4"/>
  <c r="L24" i="4"/>
  <c r="W24" i="4" a="1"/>
  <c r="W24" i="4" s="1"/>
  <c r="P24" i="4"/>
  <c r="Q24" i="4" s="1"/>
  <c r="X24" i="4" a="1"/>
  <c r="X24" i="4" s="1"/>
  <c r="G26" i="4"/>
  <c r="J26" i="4"/>
  <c r="I26" i="4"/>
  <c r="D26" i="4"/>
  <c r="Y26" i="4" s="1" a="1"/>
  <c r="Y26" i="4" s="1"/>
  <c r="E26" i="4"/>
  <c r="U30" i="4"/>
  <c r="V30" i="4" a="1"/>
  <c r="V30" i="4" s="1"/>
  <c r="F30" i="4"/>
  <c r="H34" i="4"/>
  <c r="N24" i="4"/>
  <c r="I31" i="4"/>
  <c r="E31" i="4"/>
  <c r="H31" i="4"/>
  <c r="D31" i="4"/>
  <c r="Y31" i="4" s="1" a="1"/>
  <c r="Y31" i="4" s="1"/>
  <c r="M24" i="4"/>
  <c r="N32" i="4"/>
  <c r="G28" i="4"/>
  <c r="H28" i="4"/>
  <c r="I33" i="4"/>
  <c r="E33" i="4"/>
  <c r="J33" i="4"/>
  <c r="F24" i="4"/>
  <c r="I27" i="4"/>
  <c r="E27" i="4"/>
  <c r="G27" i="4"/>
  <c r="J27" i="4"/>
  <c r="D28" i="4"/>
  <c r="Y28" i="4" s="1" a="1"/>
  <c r="Y28" i="4" s="1"/>
  <c r="I28" i="4"/>
  <c r="G30" i="4"/>
  <c r="H30" i="4"/>
  <c r="F32" i="4"/>
  <c r="H33" i="4"/>
  <c r="I25" i="4"/>
  <c r="E25" i="4"/>
  <c r="G25" i="4"/>
  <c r="J25" i="4"/>
  <c r="G33" i="4"/>
  <c r="G24" i="4"/>
  <c r="H24" i="4"/>
  <c r="V24" i="4" a="1"/>
  <c r="V24" i="4" s="1"/>
  <c r="D25" i="4"/>
  <c r="Y25" i="4" s="1" a="1"/>
  <c r="Y25" i="4" s="1"/>
  <c r="H27" i="4"/>
  <c r="E28" i="4"/>
  <c r="I29" i="4"/>
  <c r="E29" i="4"/>
  <c r="G29" i="4"/>
  <c r="J29" i="4"/>
  <c r="D30" i="4"/>
  <c r="Y30" i="4" s="1" a="1"/>
  <c r="Y30" i="4" s="1"/>
  <c r="I30" i="4"/>
  <c r="G32" i="4"/>
  <c r="H32" i="4"/>
  <c r="V32" i="4" a="1"/>
  <c r="V32" i="4" s="1"/>
  <c r="D33" i="4"/>
  <c r="Y33" i="4" s="1" a="1"/>
  <c r="Y33" i="4" s="1"/>
  <c r="C23" i="1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T14" i="1"/>
  <c r="T15" i="1"/>
  <c r="T16" i="1"/>
  <c r="T17" i="1"/>
  <c r="T18" i="1"/>
  <c r="T19" i="1"/>
  <c r="T20" i="1"/>
  <c r="T21" i="1"/>
  <c r="T22" i="1"/>
  <c r="T23" i="1"/>
  <c r="T24" i="1"/>
  <c r="T26" i="1"/>
  <c r="Q11" i="1"/>
  <c r="S11" i="1" s="1"/>
  <c r="Q12" i="1"/>
  <c r="S12" i="1" s="1"/>
  <c r="Q13" i="1"/>
  <c r="S13" i="1" s="1"/>
  <c r="Q14" i="1"/>
  <c r="S14" i="1" s="1"/>
  <c r="Q15" i="1"/>
  <c r="S15" i="1" s="1"/>
  <c r="Q16" i="1"/>
  <c r="S16" i="1" s="1"/>
  <c r="Q17" i="1"/>
  <c r="S17" i="1" s="1"/>
  <c r="Q18" i="1"/>
  <c r="S18" i="1" s="1"/>
  <c r="Q19" i="1"/>
  <c r="S19" i="1" s="1"/>
  <c r="Q20" i="1"/>
  <c r="S20" i="1" s="1"/>
  <c r="Q21" i="1"/>
  <c r="S21" i="1" s="1"/>
  <c r="Q22" i="1"/>
  <c r="S22" i="1" s="1"/>
  <c r="Q23" i="1"/>
  <c r="S23" i="1" s="1"/>
  <c r="Q24" i="1"/>
  <c r="S24" i="1" s="1"/>
  <c r="Q26" i="1"/>
  <c r="S26"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C9" i="14" s="1"/>
  <c r="F13" i="1"/>
  <c r="C8" i="14" s="1"/>
  <c r="F12" i="1"/>
  <c r="C7" i="14" s="1"/>
  <c r="F11" i="1"/>
  <c r="C4" i="12" s="1"/>
  <c r="D4" i="12" s="1"/>
  <c r="Y110" i="4" l="1" a="1"/>
  <c r="Y110" i="4" s="1"/>
  <c r="M85" i="4"/>
  <c r="N74" i="4"/>
  <c r="Y74" i="4" a="1"/>
  <c r="Y74" i="4" s="1"/>
  <c r="Y57" i="4" a="1"/>
  <c r="Y57" i="4" s="1"/>
  <c r="M27" i="4"/>
  <c r="V38" i="4" a="1"/>
  <c r="V38" i="4" s="1"/>
  <c r="Y45" i="4" a="1"/>
  <c r="Y45" i="4" s="1"/>
  <c r="Y78" i="4" a="1"/>
  <c r="Y78" i="4" s="1"/>
  <c r="F131" i="4"/>
  <c r="M43" i="4"/>
  <c r="Y43" i="4" a="1"/>
  <c r="Y43" i="4" s="1"/>
  <c r="N70" i="4"/>
  <c r="Y70" i="4" a="1"/>
  <c r="Y70" i="4" s="1"/>
  <c r="N46" i="4"/>
  <c r="Y46" i="4" a="1"/>
  <c r="Y46" i="4" s="1"/>
  <c r="Y66" i="4" a="1"/>
  <c r="Y66" i="4" s="1"/>
  <c r="N120" i="4"/>
  <c r="Y120" i="4" a="1"/>
  <c r="Y120" i="4" s="1"/>
  <c r="Y79" i="4" a="1"/>
  <c r="Y79" i="4" s="1"/>
  <c r="R131" i="4" a="1"/>
  <c r="R131" i="4" s="1"/>
  <c r="Y82" i="4" a="1"/>
  <c r="Y82" i="4" s="1"/>
  <c r="M32" i="4"/>
  <c r="Y32" i="4" a="1"/>
  <c r="Y32" i="4" s="1"/>
  <c r="Y98" i="4" a="1"/>
  <c r="Y98" i="4" s="1"/>
  <c r="L32" i="4"/>
  <c r="N64" i="4"/>
  <c r="X32" i="4" a="1"/>
  <c r="X32" i="4" s="1"/>
  <c r="O32" i="4"/>
  <c r="P57" i="4"/>
  <c r="Q57" i="4" s="1"/>
  <c r="L69" i="4"/>
  <c r="M86" i="4"/>
  <c r="U106" i="4"/>
  <c r="M125" i="4"/>
  <c r="S119" i="4" a="1"/>
  <c r="S119" i="4" s="1"/>
  <c r="T119" i="4" s="1"/>
  <c r="T129" i="4"/>
  <c r="T75" i="4"/>
  <c r="W69" i="4" a="1"/>
  <c r="W69" i="4" s="1"/>
  <c r="N104" i="4"/>
  <c r="R129" i="4" a="1"/>
  <c r="R129" i="4" s="1"/>
  <c r="V48" i="4" a="1"/>
  <c r="V48" i="4" s="1"/>
  <c r="L57" i="4"/>
  <c r="X57" i="4" a="1"/>
  <c r="X57" i="4" s="1"/>
  <c r="O98" i="4"/>
  <c r="P102" i="4"/>
  <c r="Q102" i="4" s="1"/>
  <c r="L104" i="4"/>
  <c r="O69" i="4"/>
  <c r="F85" i="4"/>
  <c r="N36" i="4"/>
  <c r="N48" i="4"/>
  <c r="N43" i="4"/>
  <c r="P53" i="4"/>
  <c r="Q53" i="4" s="1"/>
  <c r="M51" i="4"/>
  <c r="X69" i="4" a="1"/>
  <c r="X69" i="4" s="1"/>
  <c r="M70" i="4"/>
  <c r="L87" i="4"/>
  <c r="L95" i="4"/>
  <c r="L98" i="4"/>
  <c r="N86" i="4"/>
  <c r="N109" i="4"/>
  <c r="O104" i="4"/>
  <c r="W119" i="4" a="1"/>
  <c r="W119" i="4" s="1"/>
  <c r="V125" i="4" a="1"/>
  <c r="V125" i="4" s="1"/>
  <c r="M78" i="4"/>
  <c r="L79" i="4"/>
  <c r="S57" i="4" a="1"/>
  <c r="S57" i="4" s="1"/>
  <c r="T57" i="4" s="1"/>
  <c r="X53" i="4" a="1"/>
  <c r="X53" i="4" s="1"/>
  <c r="W87" i="4" a="1"/>
  <c r="W87" i="4" s="1"/>
  <c r="W102" i="4" a="1"/>
  <c r="W102" i="4" s="1"/>
  <c r="F106" i="4"/>
  <c r="P133" i="4"/>
  <c r="Q133" i="4" s="1"/>
  <c r="M36" i="4"/>
  <c r="U48" i="4"/>
  <c r="M54" i="4"/>
  <c r="M66" i="4"/>
  <c r="M94" i="4"/>
  <c r="L115" i="4"/>
  <c r="M109" i="4"/>
  <c r="X119" i="4" a="1"/>
  <c r="X119" i="4" s="1"/>
  <c r="M126" i="4"/>
  <c r="L82" i="4"/>
  <c r="V86" i="4" a="1"/>
  <c r="V86" i="4" s="1"/>
  <c r="C6" i="14"/>
  <c r="D6" i="14" s="1"/>
  <c r="E22" i="14"/>
  <c r="D22" i="14"/>
  <c r="E19" i="14"/>
  <c r="D19" i="14"/>
  <c r="E16" i="14"/>
  <c r="D16" i="14"/>
  <c r="E13" i="14"/>
  <c r="D13" i="14"/>
  <c r="E10" i="14"/>
  <c r="D10" i="14"/>
  <c r="E7" i="14"/>
  <c r="D7" i="14"/>
  <c r="E23" i="14"/>
  <c r="D23" i="14"/>
  <c r="E20" i="14"/>
  <c r="D20" i="14"/>
  <c r="E17" i="14"/>
  <c r="D17" i="14"/>
  <c r="E14" i="14"/>
  <c r="D14" i="14"/>
  <c r="E11" i="14"/>
  <c r="D11" i="14"/>
  <c r="E8" i="14"/>
  <c r="D8" i="14"/>
  <c r="E24" i="14"/>
  <c r="D24" i="14"/>
  <c r="E21" i="14"/>
  <c r="D21" i="14"/>
  <c r="E18" i="14"/>
  <c r="D18" i="14"/>
  <c r="E15" i="14"/>
  <c r="D15" i="14"/>
  <c r="E12" i="14"/>
  <c r="D12" i="14"/>
  <c r="E9" i="14"/>
  <c r="D9" i="14"/>
  <c r="E25" i="14"/>
  <c r="D25" i="14"/>
  <c r="L36" i="4"/>
  <c r="U38" i="4"/>
  <c r="M49" i="4"/>
  <c r="N82" i="4"/>
  <c r="O84" i="4"/>
  <c r="S84" i="4" s="1" a="1"/>
  <c r="S84" i="4" s="1"/>
  <c r="T84" i="4" s="1"/>
  <c r="V97" i="4" a="1"/>
  <c r="V97" i="4" s="1"/>
  <c r="M100" i="4"/>
  <c r="F97" i="4"/>
  <c r="S109" i="4" a="1"/>
  <c r="S109" i="4" s="1"/>
  <c r="T109" i="4" s="1"/>
  <c r="F111" i="4"/>
  <c r="U131" i="4"/>
  <c r="W97" i="4" a="1"/>
  <c r="W97" i="4" s="1"/>
  <c r="M79" i="4"/>
  <c r="T42" i="4"/>
  <c r="M58" i="4"/>
  <c r="M69" i="4"/>
  <c r="U82" i="4"/>
  <c r="L92" i="4"/>
  <c r="U94" i="4"/>
  <c r="S97" i="4" a="1"/>
  <c r="S97" i="4" s="1"/>
  <c r="T97" i="4" s="1"/>
  <c r="O99" i="4"/>
  <c r="X125" i="4" a="1"/>
  <c r="X125" i="4" s="1"/>
  <c r="L133" i="4"/>
  <c r="N129" i="4"/>
  <c r="M45" i="4"/>
  <c r="M73" i="4"/>
  <c r="M74" i="4"/>
  <c r="N78" i="4"/>
  <c r="V94" i="4" a="1"/>
  <c r="V94" i="4" s="1"/>
  <c r="X99" i="4" a="1"/>
  <c r="X99" i="4" s="1"/>
  <c r="W129" i="4" a="1"/>
  <c r="W129" i="4" s="1"/>
  <c r="N45" i="4"/>
  <c r="M56" i="4"/>
  <c r="L83" i="4"/>
  <c r="M97" i="4"/>
  <c r="T131" i="4"/>
  <c r="F49" i="4"/>
  <c r="U49" i="4"/>
  <c r="O87" i="4"/>
  <c r="P87" i="4"/>
  <c r="Q87" i="4" s="1"/>
  <c r="P46" i="4"/>
  <c r="Q46" i="4" s="1"/>
  <c r="W46" i="4" a="1"/>
  <c r="W46" i="4" s="1"/>
  <c r="X46" i="4" a="1"/>
  <c r="X46" i="4" s="1"/>
  <c r="O46" i="4"/>
  <c r="W82" i="4" a="1"/>
  <c r="W82" i="4" s="1"/>
  <c r="O82" i="4"/>
  <c r="O133" i="4"/>
  <c r="W133" i="4" a="1"/>
  <c r="W133" i="4" s="1"/>
  <c r="F45" i="4"/>
  <c r="U45" i="4"/>
  <c r="V82" i="4" a="1"/>
  <c r="V82" i="4" s="1"/>
  <c r="M82" i="4"/>
  <c r="L53" i="4"/>
  <c r="W53" i="4" a="1"/>
  <c r="W53" i="4" s="1"/>
  <c r="O53" i="4"/>
  <c r="M71" i="4"/>
  <c r="N71" i="4"/>
  <c r="P89" i="4"/>
  <c r="Q89" i="4" s="1"/>
  <c r="L89" i="4"/>
  <c r="W89" i="4" a="1"/>
  <c r="W89" i="4" s="1"/>
  <c r="O89" i="4"/>
  <c r="V109" i="4" a="1"/>
  <c r="V109" i="4" s="1"/>
  <c r="M122" i="4"/>
  <c r="N122" i="4"/>
  <c r="X129" i="4" a="1"/>
  <c r="X129" i="4" s="1"/>
  <c r="N59" i="4"/>
  <c r="M59" i="4"/>
  <c r="S85" i="4" a="1"/>
  <c r="S85" i="4" s="1"/>
  <c r="T85" i="4" s="1"/>
  <c r="M130" i="4"/>
  <c r="N130" i="4"/>
  <c r="W130" i="4" a="1"/>
  <c r="W130" i="4" s="1"/>
  <c r="R85" i="4" a="1"/>
  <c r="R85" i="4" s="1"/>
  <c r="R109" i="4" a="1"/>
  <c r="R109" i="4" s="1"/>
  <c r="F86" i="4"/>
  <c r="U86" i="4"/>
  <c r="X109" i="4" a="1"/>
  <c r="X109" i="4" s="1"/>
  <c r="F47" i="4"/>
  <c r="U47" i="4"/>
  <c r="V45" i="4" a="1"/>
  <c r="V45" i="4" s="1"/>
  <c r="N49" i="4"/>
  <c r="O61" i="4"/>
  <c r="X61" i="4" a="1"/>
  <c r="X61" i="4" s="1"/>
  <c r="P61" i="4"/>
  <c r="Q61" i="4" s="1"/>
  <c r="W61" i="4" a="1"/>
  <c r="W61" i="4" s="1"/>
  <c r="V46" i="4" a="1"/>
  <c r="V46" i="4" s="1"/>
  <c r="X48" i="4" a="1"/>
  <c r="X48" i="4" s="1"/>
  <c r="P48" i="4"/>
  <c r="Q48" i="4" s="1"/>
  <c r="W48" i="4" a="1"/>
  <c r="W48" i="4" s="1"/>
  <c r="O48" i="4"/>
  <c r="X95" i="4" a="1"/>
  <c r="X95" i="4" s="1"/>
  <c r="P95" i="4"/>
  <c r="Q95" i="4" s="1"/>
  <c r="W95" i="4" a="1"/>
  <c r="W95" i="4" s="1"/>
  <c r="O95" i="4"/>
  <c r="P104" i="4"/>
  <c r="Q104" i="4" s="1"/>
  <c r="W104" i="4" a="1"/>
  <c r="W104" i="4" s="1"/>
  <c r="X112" i="4" a="1"/>
  <c r="X112" i="4" s="1"/>
  <c r="O112" i="4"/>
  <c r="W112" i="4" a="1"/>
  <c r="W112" i="4" s="1"/>
  <c r="X130" i="4" a="1"/>
  <c r="X130" i="4" s="1"/>
  <c r="S36" i="4" a="1"/>
  <c r="S36" i="4" s="1"/>
  <c r="T36" i="4" s="1"/>
  <c r="R36" i="4" a="1"/>
  <c r="R36" i="4" s="1"/>
  <c r="M42" i="4"/>
  <c r="V42" i="4" a="1"/>
  <c r="V42" i="4" s="1"/>
  <c r="W38" i="4" a="1"/>
  <c r="W38" i="4" s="1"/>
  <c r="X38" i="4" a="1"/>
  <c r="X38" i="4" s="1"/>
  <c r="O39" i="4"/>
  <c r="P39" i="4"/>
  <c r="Q39" i="4" s="1"/>
  <c r="W39" i="4" a="1"/>
  <c r="W39" i="4" s="1"/>
  <c r="X39" i="4" a="1"/>
  <c r="X39" i="4" s="1"/>
  <c r="N39" i="4"/>
  <c r="L39" i="4"/>
  <c r="M48" i="4"/>
  <c r="L48" i="4"/>
  <c r="N42" i="4"/>
  <c r="X42" i="4" a="1"/>
  <c r="X42" i="4" s="1"/>
  <c r="W47" i="4" a="1"/>
  <c r="W47" i="4" s="1"/>
  <c r="V59" i="4" a="1"/>
  <c r="V59" i="4" s="1"/>
  <c r="F59" i="4"/>
  <c r="U59" i="4"/>
  <c r="V47" i="4" a="1"/>
  <c r="V47" i="4" s="1"/>
  <c r="V50" i="4" a="1"/>
  <c r="V50" i="4" s="1"/>
  <c r="F50" i="4"/>
  <c r="U50" i="4"/>
  <c r="M61" i="4"/>
  <c r="L61" i="4"/>
  <c r="L66" i="4"/>
  <c r="O66" i="4"/>
  <c r="W66" i="4" a="1"/>
  <c r="W66" i="4" s="1"/>
  <c r="X66" i="4" a="1"/>
  <c r="X66" i="4" s="1"/>
  <c r="P66" i="4"/>
  <c r="Q66" i="4" s="1"/>
  <c r="X62" i="4" a="1"/>
  <c r="X62" i="4" s="1"/>
  <c r="O62" i="4"/>
  <c r="P62" i="4"/>
  <c r="Q62" i="4" s="1"/>
  <c r="W62" i="4" a="1"/>
  <c r="W62" i="4" s="1"/>
  <c r="R49" i="4" a="1"/>
  <c r="R49" i="4" s="1"/>
  <c r="S49" i="4" a="1"/>
  <c r="S49" i="4" s="1"/>
  <c r="T49" i="4" s="1"/>
  <c r="M60" i="4"/>
  <c r="V66" i="4" a="1"/>
  <c r="V66" i="4" s="1"/>
  <c r="X70" i="4" a="1"/>
  <c r="X70" i="4" s="1"/>
  <c r="L70" i="4"/>
  <c r="P70" i="4"/>
  <c r="Q70" i="4" s="1"/>
  <c r="W70" i="4" a="1"/>
  <c r="W70" i="4" s="1"/>
  <c r="O70" i="4"/>
  <c r="V72" i="4" a="1"/>
  <c r="V72" i="4" s="1"/>
  <c r="F72" i="4"/>
  <c r="U72" i="4"/>
  <c r="U78" i="4"/>
  <c r="F78" i="4"/>
  <c r="V78" i="4" a="1"/>
  <c r="V78" i="4" s="1"/>
  <c r="N54" i="4"/>
  <c r="O67" i="4"/>
  <c r="W67" i="4" a="1"/>
  <c r="W67" i="4" s="1"/>
  <c r="P67" i="4"/>
  <c r="Q67" i="4" s="1"/>
  <c r="X67" i="4" a="1"/>
  <c r="X67" i="4" s="1"/>
  <c r="N58" i="4"/>
  <c r="O65" i="4"/>
  <c r="W65" i="4" a="1"/>
  <c r="W65" i="4" s="1"/>
  <c r="P65" i="4"/>
  <c r="Q65" i="4" s="1"/>
  <c r="X65" i="4" a="1"/>
  <c r="X65" i="4" s="1"/>
  <c r="V76" i="4" a="1"/>
  <c r="V76" i="4" s="1"/>
  <c r="F76" i="4"/>
  <c r="U76" i="4"/>
  <c r="N73" i="4"/>
  <c r="P88" i="4"/>
  <c r="Q88" i="4" s="1"/>
  <c r="W88" i="4" a="1"/>
  <c r="W88" i="4" s="1"/>
  <c r="O88" i="4"/>
  <c r="X88" i="4" a="1"/>
  <c r="X88" i="4" s="1"/>
  <c r="R80" i="4" a="1"/>
  <c r="R80" i="4" s="1"/>
  <c r="S80" i="4" a="1"/>
  <c r="S80" i="4" s="1"/>
  <c r="T80" i="4" s="1"/>
  <c r="L86" i="4"/>
  <c r="O86" i="4"/>
  <c r="W86" i="4" a="1"/>
  <c r="W86" i="4" s="1"/>
  <c r="X86" i="4" a="1"/>
  <c r="X86" i="4" s="1"/>
  <c r="P86" i="4"/>
  <c r="Q86" i="4" s="1"/>
  <c r="N96" i="4"/>
  <c r="L96" i="4"/>
  <c r="X106" i="4" a="1"/>
  <c r="X106" i="4" s="1"/>
  <c r="O106" i="4"/>
  <c r="P106" i="4"/>
  <c r="Q106" i="4" s="1"/>
  <c r="W106" i="4" a="1"/>
  <c r="W106" i="4" s="1"/>
  <c r="L106" i="4"/>
  <c r="P91" i="4"/>
  <c r="Q91" i="4" s="1"/>
  <c r="W91" i="4" a="1"/>
  <c r="W91" i="4" s="1"/>
  <c r="O91" i="4"/>
  <c r="X91" i="4" a="1"/>
  <c r="X91" i="4" s="1"/>
  <c r="N91" i="4"/>
  <c r="M91" i="4"/>
  <c r="N99" i="4"/>
  <c r="L99" i="4"/>
  <c r="R98" i="4" a="1"/>
  <c r="R98" i="4" s="1"/>
  <c r="S98" i="4" a="1"/>
  <c r="S98" i="4" s="1"/>
  <c r="T98" i="4" s="1"/>
  <c r="M87" i="4"/>
  <c r="P93" i="4"/>
  <c r="Q93" i="4" s="1"/>
  <c r="W93" i="4" a="1"/>
  <c r="W93" i="4" s="1"/>
  <c r="O93" i="4"/>
  <c r="X93" i="4" a="1"/>
  <c r="X93" i="4" s="1"/>
  <c r="N93" i="4"/>
  <c r="L93" i="4"/>
  <c r="W111" i="4" a="1"/>
  <c r="W111" i="4" s="1"/>
  <c r="W113" i="4" a="1"/>
  <c r="W113" i="4" s="1"/>
  <c r="V114" i="4" a="1"/>
  <c r="V114" i="4" s="1"/>
  <c r="F114" i="4"/>
  <c r="U114" i="4"/>
  <c r="V117" i="4" a="1"/>
  <c r="V117" i="4" s="1"/>
  <c r="F117" i="4"/>
  <c r="U117" i="4"/>
  <c r="F122" i="4"/>
  <c r="V122" i="4" a="1"/>
  <c r="V122" i="4" s="1"/>
  <c r="U122" i="4"/>
  <c r="N100" i="4"/>
  <c r="R107" i="4" a="1"/>
  <c r="R107" i="4" s="1"/>
  <c r="S107" i="4" a="1"/>
  <c r="S107" i="4" s="1"/>
  <c r="T107" i="4" s="1"/>
  <c r="W118" i="4" a="1"/>
  <c r="W118" i="4" s="1"/>
  <c r="O118" i="4"/>
  <c r="X118" i="4" a="1"/>
  <c r="X118" i="4" s="1"/>
  <c r="P118" i="4"/>
  <c r="Q118" i="4" s="1"/>
  <c r="L112" i="4"/>
  <c r="L116" i="4"/>
  <c r="O116" i="4"/>
  <c r="P116" i="4"/>
  <c r="Q116" i="4" s="1"/>
  <c r="X116" i="4" a="1"/>
  <c r="X116" i="4" s="1"/>
  <c r="W116" i="4" a="1"/>
  <c r="W116" i="4" s="1"/>
  <c r="V121" i="4" a="1"/>
  <c r="V121" i="4" s="1"/>
  <c r="L125" i="4"/>
  <c r="V132" i="4" a="1"/>
  <c r="V132" i="4" s="1"/>
  <c r="F132" i="4"/>
  <c r="U132" i="4"/>
  <c r="S120" i="4" a="1"/>
  <c r="S120" i="4" s="1"/>
  <c r="T120" i="4" s="1"/>
  <c r="R120" i="4" a="1"/>
  <c r="R120" i="4" s="1"/>
  <c r="V123" i="4" a="1"/>
  <c r="V123" i="4" s="1"/>
  <c r="F123" i="4"/>
  <c r="U123" i="4"/>
  <c r="S130" i="4" a="1"/>
  <c r="S130" i="4" s="1"/>
  <c r="T130" i="4" s="1"/>
  <c r="R130" i="4" a="1"/>
  <c r="R130" i="4" s="1"/>
  <c r="W121" i="4" a="1"/>
  <c r="W121" i="4" s="1"/>
  <c r="F128" i="4"/>
  <c r="U128" i="4"/>
  <c r="V128" i="4" a="1"/>
  <c r="V128" i="4" s="1"/>
  <c r="M104" i="4"/>
  <c r="P37" i="4"/>
  <c r="Q37" i="4" s="1"/>
  <c r="W37" i="4" a="1"/>
  <c r="W37" i="4" s="1"/>
  <c r="X37" i="4" a="1"/>
  <c r="X37" i="4" s="1"/>
  <c r="L37" i="4"/>
  <c r="O37" i="4"/>
  <c r="M38" i="4"/>
  <c r="V39" i="4" a="1"/>
  <c r="V39" i="4" s="1"/>
  <c r="F39" i="4"/>
  <c r="U39" i="4"/>
  <c r="W41" i="4" a="1"/>
  <c r="W41" i="4" s="1"/>
  <c r="L41" i="4"/>
  <c r="O41" i="4"/>
  <c r="P41" i="4"/>
  <c r="Q41" i="4" s="1"/>
  <c r="X41" i="4" a="1"/>
  <c r="X41" i="4" s="1"/>
  <c r="L43" i="4"/>
  <c r="O43" i="4"/>
  <c r="W43" i="4" a="1"/>
  <c r="W43" i="4" s="1"/>
  <c r="P43" i="4"/>
  <c r="Q43" i="4" s="1"/>
  <c r="X43" i="4" a="1"/>
  <c r="X43" i="4" s="1"/>
  <c r="S47" i="4" a="1"/>
  <c r="S47" i="4" s="1"/>
  <c r="T47" i="4" s="1"/>
  <c r="R47" i="4" a="1"/>
  <c r="R47" i="4" s="1"/>
  <c r="M57" i="4"/>
  <c r="W57" i="4" a="1"/>
  <c r="W57" i="4" s="1"/>
  <c r="X49" i="4" a="1"/>
  <c r="X49" i="4" s="1"/>
  <c r="L54" i="4"/>
  <c r="O54" i="4"/>
  <c r="X54" i="4" a="1"/>
  <c r="X54" i="4" s="1"/>
  <c r="P54" i="4"/>
  <c r="Q54" i="4" s="1"/>
  <c r="W54" i="4" a="1"/>
  <c r="W54" i="4" s="1"/>
  <c r="L58" i="4"/>
  <c r="O58" i="4"/>
  <c r="W58" i="4" a="1"/>
  <c r="W58" i="4" s="1"/>
  <c r="X58" i="4" a="1"/>
  <c r="X58" i="4" s="1"/>
  <c r="P58" i="4"/>
  <c r="Q58" i="4" s="1"/>
  <c r="L62" i="4"/>
  <c r="N62" i="4"/>
  <c r="W55" i="4" a="1"/>
  <c r="W55" i="4" s="1"/>
  <c r="L55" i="4"/>
  <c r="O55" i="4"/>
  <c r="P55" i="4"/>
  <c r="Q55" i="4" s="1"/>
  <c r="X55" i="4" a="1"/>
  <c r="X55" i="4" s="1"/>
  <c r="V57" i="4" a="1"/>
  <c r="V57" i="4" s="1"/>
  <c r="L60" i="4"/>
  <c r="O60" i="4"/>
  <c r="W60" i="4" a="1"/>
  <c r="W60" i="4" s="1"/>
  <c r="X60" i="4" a="1"/>
  <c r="X60" i="4" s="1"/>
  <c r="P60" i="4"/>
  <c r="Q60" i="4" s="1"/>
  <c r="W68" i="4" a="1"/>
  <c r="W68" i="4" s="1"/>
  <c r="L68" i="4"/>
  <c r="P68" i="4"/>
  <c r="Q68" i="4" s="1"/>
  <c r="O68" i="4"/>
  <c r="X68" i="4" a="1"/>
  <c r="X68" i="4" s="1"/>
  <c r="M75" i="4"/>
  <c r="V75" i="4" a="1"/>
  <c r="V75" i="4" s="1"/>
  <c r="F62" i="4"/>
  <c r="U62" i="4"/>
  <c r="V62" i="4" a="1"/>
  <c r="V62" i="4" s="1"/>
  <c r="W49" i="4" a="1"/>
  <c r="W49" i="4" s="1"/>
  <c r="U70" i="4"/>
  <c r="F70" i="4"/>
  <c r="V70" i="4" a="1"/>
  <c r="V70" i="4" s="1"/>
  <c r="N75" i="4"/>
  <c r="V64" i="4" a="1"/>
  <c r="V64" i="4" s="1"/>
  <c r="L67" i="4"/>
  <c r="N67" i="4"/>
  <c r="L73" i="4"/>
  <c r="O73" i="4"/>
  <c r="P73" i="4"/>
  <c r="Q73" i="4" s="1"/>
  <c r="W73" i="4" a="1"/>
  <c r="W73" i="4" s="1"/>
  <c r="X73" i="4" a="1"/>
  <c r="X73" i="4" s="1"/>
  <c r="L65" i="4"/>
  <c r="N65" i="4"/>
  <c r="N66" i="4"/>
  <c r="O77" i="4"/>
  <c r="P77" i="4"/>
  <c r="Q77" i="4" s="1"/>
  <c r="W77" i="4" a="1"/>
  <c r="W77" i="4" s="1"/>
  <c r="X77" i="4" a="1"/>
  <c r="X77" i="4" s="1"/>
  <c r="W90" i="4" a="1"/>
  <c r="W90" i="4" s="1"/>
  <c r="V84" i="4" a="1"/>
  <c r="V84" i="4" s="1"/>
  <c r="N88" i="4"/>
  <c r="L88" i="4"/>
  <c r="S90" i="4" a="1"/>
  <c r="S90" i="4" s="1"/>
  <c r="T90" i="4" s="1"/>
  <c r="R90" i="4" a="1"/>
  <c r="R90" i="4" s="1"/>
  <c r="M98" i="4"/>
  <c r="N98" i="4"/>
  <c r="V91" i="4" a="1"/>
  <c r="V91" i="4" s="1"/>
  <c r="F91" i="4"/>
  <c r="U91" i="4"/>
  <c r="W98" i="4" a="1"/>
  <c r="W98" i="4" s="1"/>
  <c r="R101" i="4" a="1"/>
  <c r="R101" i="4" s="1"/>
  <c r="S101" i="4" a="1"/>
  <c r="S101" i="4" s="1"/>
  <c r="T101" i="4" s="1"/>
  <c r="F93" i="4"/>
  <c r="U93" i="4"/>
  <c r="V93" i="4" a="1"/>
  <c r="V93" i="4" s="1"/>
  <c r="X98" i="4" a="1"/>
  <c r="X98" i="4" s="1"/>
  <c r="L118" i="4"/>
  <c r="N118" i="4"/>
  <c r="R110" i="4" a="1"/>
  <c r="R110" i="4" s="1"/>
  <c r="S110" i="4" a="1"/>
  <c r="S110" i="4" s="1"/>
  <c r="T110" i="4" s="1"/>
  <c r="L107" i="4"/>
  <c r="R111" i="4" a="1"/>
  <c r="R111" i="4" s="1"/>
  <c r="S111" i="4" a="1"/>
  <c r="S111" i="4" s="1"/>
  <c r="T111" i="4" s="1"/>
  <c r="R113" i="4" a="1"/>
  <c r="R113" i="4" s="1"/>
  <c r="S113" i="4" a="1"/>
  <c r="S113" i="4" s="1"/>
  <c r="T113" i="4" s="1"/>
  <c r="V118" i="4" a="1"/>
  <c r="V118" i="4" s="1"/>
  <c r="U118" i="4"/>
  <c r="F118" i="4"/>
  <c r="V102" i="4" a="1"/>
  <c r="V102" i="4" s="1"/>
  <c r="P117" i="4"/>
  <c r="Q117" i="4" s="1"/>
  <c r="W117" i="4" a="1"/>
  <c r="W117" i="4" s="1"/>
  <c r="O117" i="4"/>
  <c r="X117" i="4" a="1"/>
  <c r="X117" i="4" s="1"/>
  <c r="X124" i="4" a="1"/>
  <c r="X124" i="4" s="1"/>
  <c r="W124" i="4" a="1"/>
  <c r="W124" i="4" s="1"/>
  <c r="L124" i="4"/>
  <c r="O124" i="4"/>
  <c r="P124" i="4"/>
  <c r="Q124" i="4" s="1"/>
  <c r="L119" i="4"/>
  <c r="V126" i="4" a="1"/>
  <c r="V126" i="4" s="1"/>
  <c r="F126" i="4"/>
  <c r="U126" i="4"/>
  <c r="N131" i="4"/>
  <c r="L131" i="4"/>
  <c r="M129" i="4"/>
  <c r="V131" i="4" a="1"/>
  <c r="V131" i="4" s="1"/>
  <c r="M35" i="4"/>
  <c r="N35" i="4"/>
  <c r="F35" i="4"/>
  <c r="U35" i="4"/>
  <c r="V35" i="4" a="1"/>
  <c r="V35" i="4" s="1"/>
  <c r="N38" i="4"/>
  <c r="R38" i="4" a="1"/>
  <c r="R38" i="4" s="1"/>
  <c r="S38" i="4" a="1"/>
  <c r="S38" i="4" s="1"/>
  <c r="T38" i="4" s="1"/>
  <c r="V41" i="4" a="1"/>
  <c r="V41" i="4" s="1"/>
  <c r="F41" i="4"/>
  <c r="U41" i="4"/>
  <c r="V43" i="4" a="1"/>
  <c r="V43" i="4" s="1"/>
  <c r="F43" i="4"/>
  <c r="U43" i="4"/>
  <c r="M46" i="4"/>
  <c r="L46" i="4"/>
  <c r="X47" i="4" a="1"/>
  <c r="X47" i="4" s="1"/>
  <c r="V49" i="4" a="1"/>
  <c r="V49" i="4" s="1"/>
  <c r="W42" i="4" a="1"/>
  <c r="W42" i="4" s="1"/>
  <c r="N47" i="4"/>
  <c r="L47" i="4"/>
  <c r="V54" i="4" a="1"/>
  <c r="V54" i="4" s="1"/>
  <c r="F54" i="4"/>
  <c r="U54" i="4"/>
  <c r="V58" i="4" a="1"/>
  <c r="V58" i="4" s="1"/>
  <c r="U58" i="4"/>
  <c r="F58" i="4"/>
  <c r="U63" i="4"/>
  <c r="F63" i="4"/>
  <c r="V63" i="4" a="1"/>
  <c r="V63" i="4" s="1"/>
  <c r="V55" i="4" a="1"/>
  <c r="V55" i="4" s="1"/>
  <c r="F55" i="4"/>
  <c r="U55" i="4"/>
  <c r="M63" i="4"/>
  <c r="F68" i="4"/>
  <c r="U68" i="4"/>
  <c r="V68" i="4" a="1"/>
  <c r="V68" i="4" s="1"/>
  <c r="V71" i="4" a="1"/>
  <c r="V71" i="4" s="1"/>
  <c r="F71" i="4"/>
  <c r="U71" i="4"/>
  <c r="L51" i="4"/>
  <c r="O51" i="4"/>
  <c r="W51" i="4" a="1"/>
  <c r="W51" i="4" s="1"/>
  <c r="P51" i="4"/>
  <c r="Q51" i="4" s="1"/>
  <c r="X51" i="4" a="1"/>
  <c r="X51" i="4" s="1"/>
  <c r="L56" i="4"/>
  <c r="O56" i="4"/>
  <c r="W56" i="4" a="1"/>
  <c r="W56" i="4" s="1"/>
  <c r="X56" i="4" a="1"/>
  <c r="X56" i="4" s="1"/>
  <c r="P56" i="4"/>
  <c r="Q56" i="4" s="1"/>
  <c r="X52" i="4" a="1"/>
  <c r="X52" i="4" s="1"/>
  <c r="L52" i="4"/>
  <c r="O52" i="4"/>
  <c r="W52" i="4" a="1"/>
  <c r="W52" i="4" s="1"/>
  <c r="P52" i="4"/>
  <c r="Q52" i="4" s="1"/>
  <c r="N57" i="4"/>
  <c r="N60" i="4"/>
  <c r="V79" i="4" a="1"/>
  <c r="V79" i="4" s="1"/>
  <c r="V73" i="4" a="1"/>
  <c r="V73" i="4" s="1"/>
  <c r="F73" i="4"/>
  <c r="U73" i="4"/>
  <c r="N51" i="4"/>
  <c r="N56" i="4"/>
  <c r="L74" i="4"/>
  <c r="O74" i="4"/>
  <c r="W74" i="4" a="1"/>
  <c r="W74" i="4" s="1"/>
  <c r="P74" i="4"/>
  <c r="Q74" i="4" s="1"/>
  <c r="X74" i="4" a="1"/>
  <c r="X74" i="4" s="1"/>
  <c r="V77" i="4" a="1"/>
  <c r="V77" i="4" s="1"/>
  <c r="F77" i="4"/>
  <c r="U77" i="4"/>
  <c r="S79" i="4" a="1"/>
  <c r="S79" i="4" s="1"/>
  <c r="T79" i="4" s="1"/>
  <c r="R79" i="4" a="1"/>
  <c r="R79" i="4" s="1"/>
  <c r="P81" i="4"/>
  <c r="Q81" i="4" s="1"/>
  <c r="W81" i="4" a="1"/>
  <c r="W81" i="4" s="1"/>
  <c r="O81" i="4"/>
  <c r="X81" i="4" a="1"/>
  <c r="X81" i="4" s="1"/>
  <c r="N81" i="4"/>
  <c r="L81" i="4"/>
  <c r="X84" i="4" a="1"/>
  <c r="X84" i="4" s="1"/>
  <c r="X96" i="4" a="1"/>
  <c r="X96" i="4" s="1"/>
  <c r="M99" i="4"/>
  <c r="F100" i="4"/>
  <c r="U100" i="4"/>
  <c r="V100" i="4" a="1"/>
  <c r="V100" i="4" s="1"/>
  <c r="V81" i="4" a="1"/>
  <c r="V81" i="4" s="1"/>
  <c r="R99" i="4" a="1"/>
  <c r="R99" i="4" s="1"/>
  <c r="S99" i="4" a="1"/>
  <c r="S99" i="4" s="1"/>
  <c r="T99" i="4" s="1"/>
  <c r="S102" i="4" a="1"/>
  <c r="S102" i="4" s="1"/>
  <c r="T102" i="4" s="1"/>
  <c r="R102" i="4" a="1"/>
  <c r="R102" i="4" s="1"/>
  <c r="N111" i="4"/>
  <c r="L111" i="4"/>
  <c r="L113" i="4"/>
  <c r="N113" i="4"/>
  <c r="N121" i="4"/>
  <c r="L121" i="4"/>
  <c r="V96" i="4" a="1"/>
  <c r="V96" i="4" s="1"/>
  <c r="P103" i="4"/>
  <c r="Q103" i="4" s="1"/>
  <c r="W103" i="4" a="1"/>
  <c r="W103" i="4" s="1"/>
  <c r="O103" i="4"/>
  <c r="X103" i="4" a="1"/>
  <c r="X103" i="4" s="1"/>
  <c r="N103" i="4"/>
  <c r="L103" i="4"/>
  <c r="R104" i="4" a="1"/>
  <c r="R104" i="4" s="1"/>
  <c r="S104" i="4" a="1"/>
  <c r="S104" i="4" s="1"/>
  <c r="T104" i="4" s="1"/>
  <c r="L109" i="4"/>
  <c r="X111" i="4" a="1"/>
  <c r="X111" i="4" s="1"/>
  <c r="X113" i="4" a="1"/>
  <c r="X113" i="4" s="1"/>
  <c r="P105" i="4"/>
  <c r="Q105" i="4" s="1"/>
  <c r="W105" i="4" a="1"/>
  <c r="W105" i="4" s="1"/>
  <c r="O105" i="4"/>
  <c r="X105" i="4" a="1"/>
  <c r="X105" i="4" s="1"/>
  <c r="N105" i="4"/>
  <c r="L105" i="4"/>
  <c r="F127" i="4"/>
  <c r="U127" i="4"/>
  <c r="V127" i="4" a="1"/>
  <c r="V127" i="4" s="1"/>
  <c r="S121" i="4" a="1"/>
  <c r="S121" i="4" s="1"/>
  <c r="T121" i="4" s="1"/>
  <c r="R121" i="4" a="1"/>
  <c r="R121" i="4" s="1"/>
  <c r="M123" i="4"/>
  <c r="N123" i="4"/>
  <c r="M127" i="4"/>
  <c r="N127" i="4"/>
  <c r="V113" i="4" a="1"/>
  <c r="V113" i="4" s="1"/>
  <c r="L126" i="4"/>
  <c r="O126" i="4"/>
  <c r="P126" i="4"/>
  <c r="Q126" i="4" s="1"/>
  <c r="X126" i="4" a="1"/>
  <c r="X126" i="4" s="1"/>
  <c r="W126" i="4" a="1"/>
  <c r="W126" i="4" s="1"/>
  <c r="N126" i="4"/>
  <c r="X35" i="4" a="1"/>
  <c r="X35" i="4" s="1"/>
  <c r="O35" i="4"/>
  <c r="P35" i="4"/>
  <c r="Q35" i="4" s="1"/>
  <c r="W35" i="4" a="1"/>
  <c r="W35" i="4" s="1"/>
  <c r="L45" i="4"/>
  <c r="O45" i="4"/>
  <c r="W45" i="4" a="1"/>
  <c r="W45" i="4" s="1"/>
  <c r="X45" i="4" a="1"/>
  <c r="X45" i="4" s="1"/>
  <c r="P45" i="4"/>
  <c r="Q45" i="4" s="1"/>
  <c r="W59" i="4" a="1"/>
  <c r="W59" i="4" s="1"/>
  <c r="O59" i="4"/>
  <c r="X59" i="4" a="1"/>
  <c r="X59" i="4" s="1"/>
  <c r="P59" i="4"/>
  <c r="Q59" i="4" s="1"/>
  <c r="X50" i="4" a="1"/>
  <c r="X50" i="4" s="1"/>
  <c r="L50" i="4"/>
  <c r="O50" i="4"/>
  <c r="P50" i="4"/>
  <c r="Q50" i="4" s="1"/>
  <c r="W50" i="4" a="1"/>
  <c r="W50" i="4" s="1"/>
  <c r="L64" i="4"/>
  <c r="O64" i="4"/>
  <c r="W64" i="4" a="1"/>
  <c r="W64" i="4" s="1"/>
  <c r="X64" i="4" a="1"/>
  <c r="X64" i="4" s="1"/>
  <c r="P64" i="4"/>
  <c r="Q64" i="4" s="1"/>
  <c r="X71" i="4" a="1"/>
  <c r="X71" i="4" s="1"/>
  <c r="L71" i="4"/>
  <c r="O71" i="4"/>
  <c r="P71" i="4"/>
  <c r="Q71" i="4" s="1"/>
  <c r="W71" i="4" a="1"/>
  <c r="W71" i="4" s="1"/>
  <c r="V51" i="4" a="1"/>
  <c r="V51" i="4" s="1"/>
  <c r="F51" i="4"/>
  <c r="U51" i="4"/>
  <c r="U56" i="4"/>
  <c r="F56" i="4"/>
  <c r="V56" i="4" a="1"/>
  <c r="V56" i="4" s="1"/>
  <c r="U52" i="4"/>
  <c r="F52" i="4"/>
  <c r="V52" i="4" a="1"/>
  <c r="V52" i="4" s="1"/>
  <c r="L63" i="4"/>
  <c r="O63" i="4"/>
  <c r="W63" i="4" a="1"/>
  <c r="W63" i="4" s="1"/>
  <c r="P63" i="4"/>
  <c r="Q63" i="4" s="1"/>
  <c r="X63" i="4" a="1"/>
  <c r="X63" i="4" s="1"/>
  <c r="L72" i="4"/>
  <c r="O72" i="4"/>
  <c r="W72" i="4" a="1"/>
  <c r="W72" i="4" s="1"/>
  <c r="X72" i="4" a="1"/>
  <c r="X72" i="4" s="1"/>
  <c r="P72" i="4"/>
  <c r="Q72" i="4" s="1"/>
  <c r="X75" i="4" a="1"/>
  <c r="X75" i="4" s="1"/>
  <c r="N77" i="4"/>
  <c r="L77" i="4"/>
  <c r="L78" i="4"/>
  <c r="O78" i="4"/>
  <c r="W78" i="4" a="1"/>
  <c r="W78" i="4" s="1"/>
  <c r="P78" i="4"/>
  <c r="Q78" i="4" s="1"/>
  <c r="X78" i="4" a="1"/>
  <c r="X78" i="4" s="1"/>
  <c r="L84" i="4"/>
  <c r="N84" i="4"/>
  <c r="U67" i="4"/>
  <c r="F67" i="4"/>
  <c r="V67" i="4" a="1"/>
  <c r="V67" i="4" s="1"/>
  <c r="R69" i="4" a="1"/>
  <c r="R69" i="4" s="1"/>
  <c r="S69" i="4" a="1"/>
  <c r="S69" i="4" s="1"/>
  <c r="T69" i="4" s="1"/>
  <c r="U65" i="4"/>
  <c r="F65" i="4"/>
  <c r="V65" i="4" a="1"/>
  <c r="V65" i="4" s="1"/>
  <c r="V74" i="4" a="1"/>
  <c r="V74" i="4" s="1"/>
  <c r="F74" i="4"/>
  <c r="U74" i="4"/>
  <c r="W76" i="4" a="1"/>
  <c r="W76" i="4" s="1"/>
  <c r="L76" i="4"/>
  <c r="O76" i="4"/>
  <c r="P76" i="4"/>
  <c r="Q76" i="4" s="1"/>
  <c r="X76" i="4" a="1"/>
  <c r="X76" i="4" s="1"/>
  <c r="X79" i="4" a="1"/>
  <c r="X79" i="4" s="1"/>
  <c r="W84" i="4" a="1"/>
  <c r="W84" i="4" s="1"/>
  <c r="X94" i="4" a="1"/>
  <c r="X94" i="4" s="1"/>
  <c r="O94" i="4"/>
  <c r="P94" i="4"/>
  <c r="Q94" i="4" s="1"/>
  <c r="W94" i="4" a="1"/>
  <c r="W94" i="4" s="1"/>
  <c r="L94" i="4"/>
  <c r="F88" i="4"/>
  <c r="U88" i="4"/>
  <c r="V88" i="4" a="1"/>
  <c r="V88" i="4" s="1"/>
  <c r="L90" i="4"/>
  <c r="N90" i="4"/>
  <c r="R92" i="4" a="1"/>
  <c r="R92" i="4" s="1"/>
  <c r="S92" i="4" a="1"/>
  <c r="S92" i="4" s="1"/>
  <c r="T92" i="4" s="1"/>
  <c r="N79" i="4"/>
  <c r="W79" i="4" a="1"/>
  <c r="W79" i="4" s="1"/>
  <c r="R83" i="4" a="1"/>
  <c r="R83" i="4" s="1"/>
  <c r="S83" i="4" a="1"/>
  <c r="S83" i="4" s="1"/>
  <c r="T83" i="4" s="1"/>
  <c r="R84" i="4" a="1"/>
  <c r="R84" i="4" s="1"/>
  <c r="M88" i="4"/>
  <c r="X90" i="4" a="1"/>
  <c r="X90" i="4" s="1"/>
  <c r="W96" i="4" a="1"/>
  <c r="W96" i="4" s="1"/>
  <c r="P100" i="4"/>
  <c r="Q100" i="4" s="1"/>
  <c r="W100" i="4" a="1"/>
  <c r="W100" i="4" s="1"/>
  <c r="X100" i="4" a="1"/>
  <c r="X100" i="4" s="1"/>
  <c r="L100" i="4"/>
  <c r="O100" i="4"/>
  <c r="L102" i="4"/>
  <c r="N102" i="4"/>
  <c r="V90" i="4" a="1"/>
  <c r="V90" i="4" s="1"/>
  <c r="W99" i="4" a="1"/>
  <c r="W99" i="4" s="1"/>
  <c r="X102" i="4" a="1"/>
  <c r="X102" i="4" s="1"/>
  <c r="P108" i="4"/>
  <c r="Q108" i="4" s="1"/>
  <c r="W108" i="4" a="1"/>
  <c r="W108" i="4" s="1"/>
  <c r="O108" i="4"/>
  <c r="X108" i="4" a="1"/>
  <c r="X108" i="4" s="1"/>
  <c r="O114" i="4"/>
  <c r="X114" i="4" a="1"/>
  <c r="X114" i="4" s="1"/>
  <c r="L114" i="4"/>
  <c r="P114" i="4"/>
  <c r="Q114" i="4" s="1"/>
  <c r="W114" i="4" a="1"/>
  <c r="W114" i="4" s="1"/>
  <c r="V116" i="4" a="1"/>
  <c r="V116" i="4" s="1"/>
  <c r="F116" i="4"/>
  <c r="U116" i="4"/>
  <c r="P122" i="4"/>
  <c r="Q122" i="4" s="1"/>
  <c r="L122" i="4"/>
  <c r="O122" i="4"/>
  <c r="X122" i="4" a="1"/>
  <c r="X122" i="4" s="1"/>
  <c r="W122" i="4" a="1"/>
  <c r="W122" i="4" s="1"/>
  <c r="V103" i="4" a="1"/>
  <c r="V103" i="4" s="1"/>
  <c r="F103" i="4"/>
  <c r="U103" i="4"/>
  <c r="L117" i="4"/>
  <c r="N117" i="4"/>
  <c r="F105" i="4"/>
  <c r="U105" i="4"/>
  <c r="V105" i="4" a="1"/>
  <c r="V105" i="4" s="1"/>
  <c r="N108" i="4"/>
  <c r="M108" i="4"/>
  <c r="R125" i="4" a="1"/>
  <c r="R125" i="4" s="1"/>
  <c r="S125" i="4" a="1"/>
  <c r="S125" i="4" s="1"/>
  <c r="T125" i="4" s="1"/>
  <c r="M128" i="4"/>
  <c r="N128" i="4"/>
  <c r="X131" i="4" a="1"/>
  <c r="X131" i="4" s="1"/>
  <c r="W132" i="4" a="1"/>
  <c r="W132" i="4" s="1"/>
  <c r="O132" i="4"/>
  <c r="X132" i="4" a="1"/>
  <c r="X132" i="4" s="1"/>
  <c r="L132" i="4"/>
  <c r="P132" i="4"/>
  <c r="Q132" i="4" s="1"/>
  <c r="X121" i="4" a="1"/>
  <c r="X121" i="4" s="1"/>
  <c r="P123" i="4"/>
  <c r="Q123" i="4" s="1"/>
  <c r="W123" i="4" a="1"/>
  <c r="W123" i="4" s="1"/>
  <c r="O123" i="4"/>
  <c r="X123" i="4" a="1"/>
  <c r="X123" i="4" s="1"/>
  <c r="L123" i="4"/>
  <c r="V111" i="4" a="1"/>
  <c r="V111" i="4" s="1"/>
  <c r="W128" i="4" a="1"/>
  <c r="W128" i="4" s="1"/>
  <c r="O128" i="4"/>
  <c r="X128" i="4" a="1"/>
  <c r="X128" i="4" s="1"/>
  <c r="P128" i="4"/>
  <c r="Q128" i="4" s="1"/>
  <c r="P127" i="4"/>
  <c r="Q127" i="4" s="1"/>
  <c r="W127" i="4" a="1"/>
  <c r="W127" i="4" s="1"/>
  <c r="O127" i="4"/>
  <c r="X127" i="4" a="1"/>
  <c r="X127" i="4" s="1"/>
  <c r="M29" i="4"/>
  <c r="N29" i="4"/>
  <c r="U28" i="4"/>
  <c r="V28" i="4" a="1"/>
  <c r="V28" i="4" s="1"/>
  <c r="F28" i="4"/>
  <c r="X27" i="4" a="1"/>
  <c r="X27" i="4" s="1"/>
  <c r="P27" i="4"/>
  <c r="Q27" i="4" s="1"/>
  <c r="L27" i="4"/>
  <c r="O27" i="4"/>
  <c r="W27" i="4" a="1"/>
  <c r="W27" i="4" s="1"/>
  <c r="O26" i="4"/>
  <c r="X26" i="4" a="1"/>
  <c r="X26" i="4" s="1"/>
  <c r="W26" i="4" a="1"/>
  <c r="W26" i="4" s="1"/>
  <c r="P26" i="4"/>
  <c r="Q26" i="4" s="1"/>
  <c r="R24" i="4" a="1"/>
  <c r="R24" i="4" s="1"/>
  <c r="S24" i="4" a="1"/>
  <c r="S24" i="4" s="1"/>
  <c r="T24" i="4" s="1"/>
  <c r="O30" i="4"/>
  <c r="X30" i="4" a="1"/>
  <c r="X30" i="4" s="1"/>
  <c r="W30" i="4" a="1"/>
  <c r="W30" i="4" s="1"/>
  <c r="P30" i="4"/>
  <c r="Q30" i="4" s="1"/>
  <c r="U29" i="4"/>
  <c r="F29" i="4"/>
  <c r="V29" i="4" a="1"/>
  <c r="V29" i="4" s="1"/>
  <c r="N34" i="4"/>
  <c r="M34" i="4"/>
  <c r="W25" i="4" a="1"/>
  <c r="W25" i="4" s="1"/>
  <c r="O25" i="4"/>
  <c r="X25" i="4" a="1"/>
  <c r="X25" i="4" s="1"/>
  <c r="P25" i="4"/>
  <c r="Q25" i="4" s="1"/>
  <c r="L28" i="4"/>
  <c r="N28" i="4"/>
  <c r="V33" i="4" a="1"/>
  <c r="V33" i="4" s="1"/>
  <c r="U33" i="4"/>
  <c r="F33" i="4"/>
  <c r="F31" i="4"/>
  <c r="V31" i="4" a="1"/>
  <c r="V31" i="4" s="1"/>
  <c r="U31" i="4"/>
  <c r="N26" i="4"/>
  <c r="L26" i="4"/>
  <c r="U34" i="4"/>
  <c r="F34" i="4"/>
  <c r="V34" i="4" a="1"/>
  <c r="V34" i="4" s="1"/>
  <c r="R32" i="4" a="1"/>
  <c r="R32" i="4" s="1"/>
  <c r="S32" i="4" a="1"/>
  <c r="S32" i="4" s="1"/>
  <c r="T32" i="4" s="1"/>
  <c r="L33" i="4"/>
  <c r="N33" i="4"/>
  <c r="W33" i="4" a="1"/>
  <c r="W33" i="4" s="1"/>
  <c r="O33" i="4"/>
  <c r="X33" i="4" a="1"/>
  <c r="X33" i="4" s="1"/>
  <c r="P33" i="4"/>
  <c r="Q33" i="4" s="1"/>
  <c r="N31" i="4"/>
  <c r="M31" i="4"/>
  <c r="P31" i="4"/>
  <c r="Q31" i="4" s="1"/>
  <c r="W31" i="4" a="1"/>
  <c r="W31" i="4" s="1"/>
  <c r="O31" i="4"/>
  <c r="X31" i="4" a="1"/>
  <c r="X31" i="4" s="1"/>
  <c r="N30" i="4"/>
  <c r="M30" i="4"/>
  <c r="X29" i="4" a="1"/>
  <c r="X29" i="4" s="1"/>
  <c r="P29" i="4"/>
  <c r="Q29" i="4" s="1"/>
  <c r="L29" i="4"/>
  <c r="W29" i="4" a="1"/>
  <c r="W29" i="4" s="1"/>
  <c r="O29" i="4"/>
  <c r="L25" i="4"/>
  <c r="N25" i="4"/>
  <c r="U25" i="4"/>
  <c r="V25" i="4" a="1"/>
  <c r="V25" i="4" s="1"/>
  <c r="F25" i="4"/>
  <c r="O28" i="4"/>
  <c r="W28" i="4" a="1"/>
  <c r="W28" i="4" s="1"/>
  <c r="P28" i="4"/>
  <c r="Q28" i="4" s="1"/>
  <c r="X28" i="4" a="1"/>
  <c r="X28" i="4" s="1"/>
  <c r="V27" i="4" a="1"/>
  <c r="V27" i="4" s="1"/>
  <c r="U27" i="4"/>
  <c r="F27" i="4"/>
  <c r="U26" i="4"/>
  <c r="F26" i="4"/>
  <c r="V26" i="4" a="1"/>
  <c r="V26" i="4" s="1"/>
  <c r="O34" i="4"/>
  <c r="W34" i="4" a="1"/>
  <c r="W34" i="4" s="1"/>
  <c r="X34" i="4" a="1"/>
  <c r="X34" i="4" s="1"/>
  <c r="P34" i="4"/>
  <c r="Q34" i="4" s="1"/>
  <c r="N27" i="4"/>
  <c r="K31" i="1"/>
  <c r="C24" i="4" s="1"/>
  <c r="K35" i="1"/>
  <c r="C28" i="4" s="1"/>
  <c r="K39" i="1"/>
  <c r="C32" i="4" s="1"/>
  <c r="K43" i="1"/>
  <c r="C36" i="4" s="1"/>
  <c r="K47" i="1"/>
  <c r="C40" i="4" s="1"/>
  <c r="K51" i="1"/>
  <c r="C44" i="4" s="1"/>
  <c r="K55" i="1"/>
  <c r="C48" i="4" s="1"/>
  <c r="K59" i="1"/>
  <c r="C52" i="4" s="1"/>
  <c r="K63" i="1"/>
  <c r="C56" i="4" s="1"/>
  <c r="K67" i="1"/>
  <c r="C60" i="4" s="1"/>
  <c r="K71" i="1"/>
  <c r="C64" i="4" s="1"/>
  <c r="K75" i="1"/>
  <c r="C68" i="4" s="1"/>
  <c r="K79" i="1"/>
  <c r="C72" i="4" s="1"/>
  <c r="K83" i="1"/>
  <c r="C76" i="4" s="1"/>
  <c r="K87" i="1"/>
  <c r="C80" i="4" s="1"/>
  <c r="K91" i="1"/>
  <c r="C84" i="4" s="1"/>
  <c r="K95" i="1"/>
  <c r="C88" i="4" s="1"/>
  <c r="K99" i="1"/>
  <c r="C92" i="4" s="1"/>
  <c r="K103" i="1"/>
  <c r="C96" i="4" s="1"/>
  <c r="K107" i="1"/>
  <c r="C100" i="4" s="1"/>
  <c r="K111" i="1"/>
  <c r="C104" i="4" s="1"/>
  <c r="K115" i="1"/>
  <c r="C108" i="4" s="1"/>
  <c r="K119" i="1"/>
  <c r="C112" i="4" s="1"/>
  <c r="K123" i="1"/>
  <c r="C116" i="4" s="1"/>
  <c r="K127" i="1"/>
  <c r="C120" i="4" s="1"/>
  <c r="K131" i="1"/>
  <c r="C124" i="4" s="1"/>
  <c r="K135" i="1"/>
  <c r="C128" i="4" s="1"/>
  <c r="K139" i="1"/>
  <c r="C132" i="4" s="1"/>
  <c r="K38" i="1"/>
  <c r="C31" i="4" s="1"/>
  <c r="K54" i="1"/>
  <c r="C47" i="4" s="1"/>
  <c r="K62" i="1"/>
  <c r="C55" i="4" s="1"/>
  <c r="K74" i="1"/>
  <c r="C67" i="4" s="1"/>
  <c r="K90" i="1"/>
  <c r="C83" i="4" s="1"/>
  <c r="K94" i="1"/>
  <c r="C87" i="4" s="1"/>
  <c r="K106" i="1"/>
  <c r="C99" i="4" s="1"/>
  <c r="K122" i="1"/>
  <c r="C115" i="4" s="1"/>
  <c r="K130" i="1"/>
  <c r="C123" i="4" s="1"/>
  <c r="K32" i="1"/>
  <c r="C25" i="4" s="1"/>
  <c r="K36" i="1"/>
  <c r="C29" i="4" s="1"/>
  <c r="K40" i="1"/>
  <c r="C33" i="4" s="1"/>
  <c r="K44" i="1"/>
  <c r="C37" i="4" s="1"/>
  <c r="K48" i="1"/>
  <c r="C41" i="4" s="1"/>
  <c r="K52" i="1"/>
  <c r="C45" i="4" s="1"/>
  <c r="K56" i="1"/>
  <c r="C49" i="4" s="1"/>
  <c r="K60" i="1"/>
  <c r="C53" i="4" s="1"/>
  <c r="K64" i="1"/>
  <c r="C57" i="4" s="1"/>
  <c r="K68" i="1"/>
  <c r="C61" i="4" s="1"/>
  <c r="K72" i="1"/>
  <c r="C65" i="4" s="1"/>
  <c r="K76" i="1"/>
  <c r="C69" i="4" s="1"/>
  <c r="K80" i="1"/>
  <c r="C73" i="4" s="1"/>
  <c r="K84" i="1"/>
  <c r="C77" i="4" s="1"/>
  <c r="K88" i="1"/>
  <c r="C81" i="4" s="1"/>
  <c r="K92" i="1"/>
  <c r="C85" i="4" s="1"/>
  <c r="K96" i="1"/>
  <c r="C89" i="4" s="1"/>
  <c r="K100" i="1"/>
  <c r="C93" i="4" s="1"/>
  <c r="K104" i="1"/>
  <c r="C97" i="4" s="1"/>
  <c r="K108" i="1"/>
  <c r="C101" i="4" s="1"/>
  <c r="K112" i="1"/>
  <c r="C105" i="4" s="1"/>
  <c r="K116" i="1"/>
  <c r="C109" i="4" s="1"/>
  <c r="K120" i="1"/>
  <c r="C113" i="4" s="1"/>
  <c r="K124" i="1"/>
  <c r="C117" i="4" s="1"/>
  <c r="K128" i="1"/>
  <c r="C121" i="4" s="1"/>
  <c r="K132" i="1"/>
  <c r="C125" i="4" s="1"/>
  <c r="K136" i="1"/>
  <c r="C129" i="4" s="1"/>
  <c r="K140" i="1"/>
  <c r="C133" i="4" s="1"/>
  <c r="K42" i="1"/>
  <c r="C35" i="4" s="1"/>
  <c r="K50" i="1"/>
  <c r="C43" i="4" s="1"/>
  <c r="K58" i="1"/>
  <c r="C51" i="4" s="1"/>
  <c r="K70" i="1"/>
  <c r="C63" i="4" s="1"/>
  <c r="K86" i="1"/>
  <c r="C79" i="4" s="1"/>
  <c r="K98" i="1"/>
  <c r="C91" i="4" s="1"/>
  <c r="K114" i="1"/>
  <c r="C107" i="4" s="1"/>
  <c r="K126" i="1"/>
  <c r="C119" i="4" s="1"/>
  <c r="K138" i="1"/>
  <c r="C131" i="4" s="1"/>
  <c r="K33" i="1"/>
  <c r="C26" i="4" s="1"/>
  <c r="K37" i="1"/>
  <c r="C30" i="4" s="1"/>
  <c r="K41" i="1"/>
  <c r="C34" i="4" s="1"/>
  <c r="K45" i="1"/>
  <c r="C38" i="4" s="1"/>
  <c r="K49" i="1"/>
  <c r="C42" i="4" s="1"/>
  <c r="K53" i="1"/>
  <c r="C46" i="4" s="1"/>
  <c r="K57" i="1"/>
  <c r="C50" i="4" s="1"/>
  <c r="K61" i="1"/>
  <c r="C54" i="4" s="1"/>
  <c r="K65" i="1"/>
  <c r="C58" i="4" s="1"/>
  <c r="K69" i="1"/>
  <c r="C62" i="4" s="1"/>
  <c r="K73" i="1"/>
  <c r="C66" i="4" s="1"/>
  <c r="K77" i="1"/>
  <c r="C70" i="4" s="1"/>
  <c r="K81" i="1"/>
  <c r="C74" i="4" s="1"/>
  <c r="K85" i="1"/>
  <c r="C78" i="4" s="1"/>
  <c r="K89" i="1"/>
  <c r="C82" i="4" s="1"/>
  <c r="K93" i="1"/>
  <c r="C86" i="4" s="1"/>
  <c r="K97" i="1"/>
  <c r="C90" i="4" s="1"/>
  <c r="K101" i="1"/>
  <c r="C94" i="4" s="1"/>
  <c r="K105" i="1"/>
  <c r="C98" i="4" s="1"/>
  <c r="K109" i="1"/>
  <c r="C102" i="4" s="1"/>
  <c r="K113" i="1"/>
  <c r="C106" i="4" s="1"/>
  <c r="K117" i="1"/>
  <c r="C110" i="4" s="1"/>
  <c r="K121" i="1"/>
  <c r="C114" i="4" s="1"/>
  <c r="K125" i="1"/>
  <c r="C118" i="4" s="1"/>
  <c r="K129" i="1"/>
  <c r="C122" i="4" s="1"/>
  <c r="K133" i="1"/>
  <c r="C126" i="4" s="1"/>
  <c r="K137" i="1"/>
  <c r="C130" i="4" s="1"/>
  <c r="K34" i="1"/>
  <c r="C27" i="4" s="1"/>
  <c r="K46" i="1"/>
  <c r="C39" i="4" s="1"/>
  <c r="K66" i="1"/>
  <c r="C59" i="4" s="1"/>
  <c r="K78" i="1"/>
  <c r="C71" i="4" s="1"/>
  <c r="K82" i="1"/>
  <c r="C75" i="4" s="1"/>
  <c r="K102" i="1"/>
  <c r="C95" i="4" s="1"/>
  <c r="K110" i="1"/>
  <c r="C103" i="4" s="1"/>
  <c r="K118" i="1"/>
  <c r="C111" i="4" s="1"/>
  <c r="K134" i="1"/>
  <c r="C127" i="4" s="1"/>
  <c r="C6" i="12"/>
  <c r="C10" i="12"/>
  <c r="C14" i="12"/>
  <c r="C18" i="12"/>
  <c r="C22" i="12"/>
  <c r="K13" i="1"/>
  <c r="C6" i="4" s="1"/>
  <c r="K17" i="1"/>
  <c r="C10" i="4" s="1"/>
  <c r="K21" i="1"/>
  <c r="C14" i="4" s="1"/>
  <c r="K25" i="1"/>
  <c r="K29" i="1"/>
  <c r="C22" i="4" s="1"/>
  <c r="C7" i="12"/>
  <c r="C11" i="12"/>
  <c r="C15" i="12"/>
  <c r="C19" i="12"/>
  <c r="C23" i="12"/>
  <c r="K14" i="1"/>
  <c r="C7" i="4" s="1"/>
  <c r="K18" i="1"/>
  <c r="C11" i="4" s="1"/>
  <c r="K22" i="1"/>
  <c r="K26" i="1"/>
  <c r="C19" i="4" s="1"/>
  <c r="K30" i="1"/>
  <c r="C23" i="4" s="1"/>
  <c r="C8" i="12"/>
  <c r="C12" i="12"/>
  <c r="C16" i="12"/>
  <c r="C20" i="12"/>
  <c r="K11" i="1"/>
  <c r="C4" i="4" s="1"/>
  <c r="K15" i="1"/>
  <c r="C8" i="4" s="1"/>
  <c r="K19" i="1"/>
  <c r="C12" i="4" s="1"/>
  <c r="K23" i="1"/>
  <c r="C16" i="4" s="1"/>
  <c r="K27" i="1"/>
  <c r="C20" i="4" s="1"/>
  <c r="C5" i="12"/>
  <c r="C9" i="12"/>
  <c r="C13" i="12"/>
  <c r="C17" i="12"/>
  <c r="C21" i="12"/>
  <c r="K12" i="1"/>
  <c r="C5" i="4" s="1"/>
  <c r="K16" i="1"/>
  <c r="C9" i="4" s="1"/>
  <c r="K20" i="1"/>
  <c r="C13" i="4" s="1"/>
  <c r="K24" i="1"/>
  <c r="C17" i="4" s="1"/>
  <c r="K28" i="1"/>
  <c r="C21" i="4" s="1"/>
  <c r="D23" i="11"/>
  <c r="D19" i="11"/>
  <c r="D15" i="11"/>
  <c r="D11" i="11"/>
  <c r="D7" i="11"/>
  <c r="J4" i="4"/>
  <c r="D22" i="11"/>
  <c r="D18" i="11"/>
  <c r="D14" i="11"/>
  <c r="D10" i="11"/>
  <c r="D6" i="11"/>
  <c r="D21" i="11"/>
  <c r="D17" i="11"/>
  <c r="D13" i="11"/>
  <c r="D9" i="11"/>
  <c r="D4" i="11"/>
  <c r="D20" i="11"/>
  <c r="D16" i="11"/>
  <c r="D12" i="11"/>
  <c r="D8" i="11"/>
  <c r="D5" i="1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G8" i="6" s="1" a="1"/>
  <c r="G8" i="6" s="1"/>
  <c r="C12" i="6"/>
  <c r="G12" i="6" s="1" a="1"/>
  <c r="G12" i="6" s="1"/>
  <c r="C16" i="6"/>
  <c r="G16" i="6" s="1" a="1"/>
  <c r="G16" i="6" s="1"/>
  <c r="C20" i="6"/>
  <c r="G20" i="6" s="1" a="1"/>
  <c r="G20" i="6" s="1"/>
  <c r="C23" i="6"/>
  <c r="G23" i="6" s="1" a="1"/>
  <c r="G23" i="6" s="1"/>
  <c r="C15" i="6"/>
  <c r="G15" i="6" s="1" a="1"/>
  <c r="G15" i="6" s="1"/>
  <c r="C7" i="6"/>
  <c r="C5" i="6"/>
  <c r="C9" i="6"/>
  <c r="G9" i="6" s="1" a="1"/>
  <c r="G9" i="6" s="1"/>
  <c r="C13" i="6"/>
  <c r="G13" i="6" s="1" a="1"/>
  <c r="G13" i="6" s="1"/>
  <c r="C17" i="6"/>
  <c r="G17" i="6" s="1" a="1"/>
  <c r="G17" i="6" s="1"/>
  <c r="C21" i="6"/>
  <c r="G21" i="6" s="1" a="1"/>
  <c r="G21" i="6" s="1"/>
  <c r="C22" i="6"/>
  <c r="G22" i="6" s="1" a="1"/>
  <c r="G22" i="6" s="1"/>
  <c r="C14" i="6"/>
  <c r="G14" i="6" s="1" a="1"/>
  <c r="G14" i="6" s="1"/>
  <c r="C6" i="6"/>
  <c r="D6" i="4"/>
  <c r="D14" i="4"/>
  <c r="D22" i="4"/>
  <c r="D10" i="4"/>
  <c r="D7" i="4"/>
  <c r="D11" i="4"/>
  <c r="D15" i="4"/>
  <c r="Y15" i="4" s="1" a="1"/>
  <c r="Y15" i="4" s="1"/>
  <c r="D19" i="4"/>
  <c r="Y19" i="4" s="1" a="1"/>
  <c r="Y19" i="4" s="1"/>
  <c r="D23" i="4"/>
  <c r="D5" i="4"/>
  <c r="D9" i="4"/>
  <c r="D13" i="4"/>
  <c r="D17" i="4"/>
  <c r="D21" i="4"/>
  <c r="E21" i="4"/>
  <c r="E17" i="4"/>
  <c r="E13" i="4"/>
  <c r="E9" i="4"/>
  <c r="E5" i="4"/>
  <c r="D18" i="4"/>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C15" i="4"/>
  <c r="G19" i="4"/>
  <c r="I23" i="4"/>
  <c r="P23" i="4" s="1"/>
  <c r="Q23" i="4" s="1"/>
  <c r="I7" i="4"/>
  <c r="P7" i="4" s="1"/>
  <c r="G22" i="4"/>
  <c r="G18" i="4"/>
  <c r="G10" i="4"/>
  <c r="I22" i="4"/>
  <c r="P22" i="4" s="1"/>
  <c r="Q22" i="4" s="1"/>
  <c r="I14" i="4"/>
  <c r="P14" i="4" s="1"/>
  <c r="Q14" i="4" s="1"/>
  <c r="I6" i="4"/>
  <c r="P6" i="4" s="1"/>
  <c r="Q6" i="4" s="1"/>
  <c r="G21" i="4"/>
  <c r="G17" i="4"/>
  <c r="G13" i="4"/>
  <c r="G9" i="4"/>
  <c r="G5" i="4"/>
  <c r="I21" i="4"/>
  <c r="P21" i="4" s="1"/>
  <c r="Q21" i="4" s="1"/>
  <c r="I17" i="4"/>
  <c r="I13" i="4"/>
  <c r="P13" i="4" s="1"/>
  <c r="Q13" i="4" s="1"/>
  <c r="I9" i="4"/>
  <c r="P9" i="4" s="1"/>
  <c r="Q9" i="4" s="1"/>
  <c r="I5" i="4"/>
  <c r="P5" i="4" s="1"/>
  <c r="Q5" i="4" s="1"/>
  <c r="G14" i="4"/>
  <c r="G6" i="4"/>
  <c r="I18" i="4"/>
  <c r="P18" i="4" s="1"/>
  <c r="I10" i="4"/>
  <c r="P10" i="4" s="1"/>
  <c r="G20" i="4"/>
  <c r="G16" i="4"/>
  <c r="G12" i="4"/>
  <c r="G8" i="4"/>
  <c r="G4" i="4"/>
  <c r="I20" i="4"/>
  <c r="P20" i="4" s="1"/>
  <c r="Q20" i="4" s="1"/>
  <c r="I16" i="4"/>
  <c r="P16" i="4" s="1"/>
  <c r="Q16" i="4" s="1"/>
  <c r="I12" i="4"/>
  <c r="P12" i="4" s="1"/>
  <c r="Q12" i="4" s="1"/>
  <c r="I8" i="4"/>
  <c r="P8" i="4" s="1"/>
  <c r="Q8" i="4" s="1"/>
  <c r="L20" i="4" l="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L34" i="4"/>
  <c r="M67" i="4"/>
  <c r="Y4" i="4" a="1"/>
  <c r="Y4" i="4" s="1"/>
  <c r="Y12" i="4" a="1"/>
  <c r="Y12" i="4" s="1"/>
  <c r="Y13" i="4" a="1"/>
  <c r="Y13" i="4" s="1"/>
  <c r="Q18" i="4"/>
  <c r="M16" i="4"/>
  <c r="Y16" i="4" a="1"/>
  <c r="Y16" i="4" s="1"/>
  <c r="M17" i="4"/>
  <c r="Y17" i="4" a="1"/>
  <c r="Y17" i="4" s="1"/>
  <c r="M23" i="4"/>
  <c r="Y23" i="4" a="1"/>
  <c r="Y23" i="4" s="1"/>
  <c r="Y7" i="4" a="1"/>
  <c r="Y7" i="4" s="1"/>
  <c r="M6" i="4"/>
  <c r="Y6" i="4" a="1"/>
  <c r="Y6" i="4" s="1"/>
  <c r="L35" i="4"/>
  <c r="D9" i="7"/>
  <c r="H9" i="7"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96" i="4"/>
  <c r="M62" i="4"/>
  <c r="Q7" i="4"/>
  <c r="M118" i="4"/>
  <c r="M65" i="4"/>
  <c r="E6" i="14"/>
  <c r="M131" i="4"/>
  <c r="M39" i="4"/>
  <c r="L59" i="4"/>
  <c r="R112" i="4" a="1"/>
  <c r="R112" i="4" s="1"/>
  <c r="S112" i="4" a="1"/>
  <c r="S112" i="4" s="1"/>
  <c r="T112" i="4" s="1"/>
  <c r="R95" i="4" a="1"/>
  <c r="R95" i="4" s="1"/>
  <c r="S95" i="4" a="1"/>
  <c r="S95" i="4" s="1"/>
  <c r="T95" i="4" s="1"/>
  <c r="S48" i="4" a="1"/>
  <c r="S48" i="4" s="1"/>
  <c r="T48" i="4" s="1"/>
  <c r="R48" i="4" a="1"/>
  <c r="R48" i="4" s="1"/>
  <c r="R61" i="4" a="1"/>
  <c r="R61" i="4" s="1"/>
  <c r="S61" i="4" a="1"/>
  <c r="S61" i="4" s="1"/>
  <c r="T61" i="4" s="1"/>
  <c r="R53" i="4" a="1"/>
  <c r="R53" i="4" s="1"/>
  <c r="S53" i="4" a="1"/>
  <c r="S53" i="4" s="1"/>
  <c r="T53" i="4" s="1"/>
  <c r="R133" i="4" a="1"/>
  <c r="R133" i="4" s="1"/>
  <c r="S133" i="4" a="1"/>
  <c r="S133" i="4" s="1"/>
  <c r="T133" i="4" s="1"/>
  <c r="S87" i="4" a="1"/>
  <c r="S87" i="4" s="1"/>
  <c r="T87" i="4" s="1"/>
  <c r="R87" i="4" a="1"/>
  <c r="R87" i="4" s="1"/>
  <c r="V21" i="4" a="1"/>
  <c r="V21" i="4" s="1"/>
  <c r="L31" i="4"/>
  <c r="M120" i="4"/>
  <c r="L120" i="4"/>
  <c r="R89" i="4" a="1"/>
  <c r="R89" i="4" s="1"/>
  <c r="S89" i="4" a="1"/>
  <c r="S89" i="4" s="1"/>
  <c r="T89" i="4" s="1"/>
  <c r="R82" i="4" a="1"/>
  <c r="R82" i="4" s="1"/>
  <c r="S82" i="4" a="1"/>
  <c r="S82" i="4" s="1"/>
  <c r="T82" i="4" s="1"/>
  <c r="M25" i="4"/>
  <c r="S46" i="4" a="1"/>
  <c r="S46" i="4" s="1"/>
  <c r="T46" i="4" s="1"/>
  <c r="R46" i="4" a="1"/>
  <c r="R46" i="4" s="1"/>
  <c r="S127" i="4" a="1"/>
  <c r="S127" i="4" s="1"/>
  <c r="T127" i="4" s="1"/>
  <c r="R127" i="4" a="1"/>
  <c r="R127" i="4" s="1"/>
  <c r="R132" i="4" a="1"/>
  <c r="R132" i="4" s="1"/>
  <c r="S132" i="4" a="1"/>
  <c r="S132" i="4" s="1"/>
  <c r="T132" i="4" s="1"/>
  <c r="S122" i="4" a="1"/>
  <c r="S122" i="4" s="1"/>
  <c r="T122" i="4" s="1"/>
  <c r="R122" i="4" a="1"/>
  <c r="R122" i="4" s="1"/>
  <c r="R50" i="4" a="1"/>
  <c r="R50" i="4" s="1"/>
  <c r="S50" i="4" a="1"/>
  <c r="S50" i="4" s="1"/>
  <c r="T50" i="4" s="1"/>
  <c r="R35" i="4" a="1"/>
  <c r="R35" i="4" s="1"/>
  <c r="S35" i="4" a="1"/>
  <c r="S35" i="4" s="1"/>
  <c r="T35" i="4" s="1"/>
  <c r="S117" i="4" a="1"/>
  <c r="S117" i="4" s="1"/>
  <c r="T117" i="4" s="1"/>
  <c r="R117" i="4" a="1"/>
  <c r="R117" i="4" s="1"/>
  <c r="R58" i="4" a="1"/>
  <c r="R58" i="4" s="1"/>
  <c r="S58" i="4" a="1"/>
  <c r="S58" i="4" s="1"/>
  <c r="T58" i="4" s="1"/>
  <c r="M111" i="4"/>
  <c r="S91" i="4" a="1"/>
  <c r="S91" i="4" s="1"/>
  <c r="T91" i="4" s="1"/>
  <c r="R91" i="4" a="1"/>
  <c r="R91" i="4" s="1"/>
  <c r="R106" i="4" a="1"/>
  <c r="R106" i="4" s="1"/>
  <c r="S106" i="4" a="1"/>
  <c r="S106" i="4" s="1"/>
  <c r="T106" i="4" s="1"/>
  <c r="S65" i="4" a="1"/>
  <c r="S65" i="4" s="1"/>
  <c r="T65" i="4" s="1"/>
  <c r="R65" i="4" a="1"/>
  <c r="R65" i="4" s="1"/>
  <c r="M77" i="4"/>
  <c r="R128" i="4" a="1"/>
  <c r="R128" i="4" s="1"/>
  <c r="S128" i="4" a="1"/>
  <c r="S128" i="4" s="1"/>
  <c r="T128" i="4" s="1"/>
  <c r="S108" i="4" a="1"/>
  <c r="S108" i="4" s="1"/>
  <c r="T108" i="4" s="1"/>
  <c r="R108" i="4" a="1"/>
  <c r="R108" i="4" s="1"/>
  <c r="S76" i="4" a="1"/>
  <c r="S76" i="4" s="1"/>
  <c r="T76" i="4" s="1"/>
  <c r="R76" i="4" a="1"/>
  <c r="R76" i="4" s="1"/>
  <c r="S63" i="4" a="1"/>
  <c r="S63" i="4" s="1"/>
  <c r="T63" i="4" s="1"/>
  <c r="R63" i="4" a="1"/>
  <c r="R63" i="4" s="1"/>
  <c r="S71" i="4" a="1"/>
  <c r="S71" i="4" s="1"/>
  <c r="T71" i="4" s="1"/>
  <c r="R71" i="4" a="1"/>
  <c r="R71" i="4" s="1"/>
  <c r="S103" i="4" a="1"/>
  <c r="S103" i="4" s="1"/>
  <c r="T103" i="4" s="1"/>
  <c r="R103" i="4" a="1"/>
  <c r="R103" i="4" s="1"/>
  <c r="S74" i="4" a="1"/>
  <c r="S74" i="4" s="1"/>
  <c r="T74" i="4" s="1"/>
  <c r="R74" i="4" a="1"/>
  <c r="R74" i="4" s="1"/>
  <c r="R124" i="4" a="1"/>
  <c r="R124" i="4" s="1"/>
  <c r="S124" i="4" a="1"/>
  <c r="S124" i="4" s="1"/>
  <c r="T124" i="4" s="1"/>
  <c r="M117" i="4"/>
  <c r="M102" i="4"/>
  <c r="M90" i="4"/>
  <c r="R54" i="4" a="1"/>
  <c r="R54" i="4" s="1"/>
  <c r="S54" i="4" a="1"/>
  <c r="S54" i="4" s="1"/>
  <c r="T54" i="4" s="1"/>
  <c r="S43" i="4" a="1"/>
  <c r="S43" i="4" s="1"/>
  <c r="T43" i="4" s="1"/>
  <c r="R43" i="4" a="1"/>
  <c r="R43" i="4" s="1"/>
  <c r="R37" i="4" a="1"/>
  <c r="R37" i="4" s="1"/>
  <c r="S37" i="4" a="1"/>
  <c r="S37" i="4" s="1"/>
  <c r="T37" i="4" s="1"/>
  <c r="M105" i="4"/>
  <c r="R118" i="4" a="1"/>
  <c r="R118" i="4" s="1"/>
  <c r="S118" i="4" a="1"/>
  <c r="S118" i="4" s="1"/>
  <c r="T118" i="4" s="1"/>
  <c r="M103" i="4"/>
  <c r="S93" i="4" a="1"/>
  <c r="S93" i="4" s="1"/>
  <c r="T93" i="4" s="1"/>
  <c r="R93" i="4" a="1"/>
  <c r="R93" i="4" s="1"/>
  <c r="S88" i="4" a="1"/>
  <c r="S88" i="4" s="1"/>
  <c r="T88" i="4" s="1"/>
  <c r="R88" i="4" a="1"/>
  <c r="R88" i="4" s="1"/>
  <c r="M47" i="4"/>
  <c r="S39" i="4" a="1"/>
  <c r="S39" i="4" s="1"/>
  <c r="T39" i="4" s="1"/>
  <c r="R39" i="4" a="1"/>
  <c r="R39" i="4" s="1"/>
  <c r="S123" i="4" a="1"/>
  <c r="S123" i="4" s="1"/>
  <c r="T123" i="4" s="1"/>
  <c r="R123" i="4" a="1"/>
  <c r="R123" i="4" s="1"/>
  <c r="R114" i="4" a="1"/>
  <c r="R114" i="4" s="1"/>
  <c r="S114" i="4" a="1"/>
  <c r="S114" i="4" s="1"/>
  <c r="T114" i="4" s="1"/>
  <c r="R94" i="4" a="1"/>
  <c r="R94" i="4" s="1"/>
  <c r="S94" i="4" a="1"/>
  <c r="S94" i="4" s="1"/>
  <c r="T94" i="4" s="1"/>
  <c r="S78" i="4" a="1"/>
  <c r="S78" i="4" s="1"/>
  <c r="T78" i="4" s="1"/>
  <c r="R78" i="4" a="1"/>
  <c r="R78" i="4" s="1"/>
  <c r="R59" i="4" a="1"/>
  <c r="R59" i="4" s="1"/>
  <c r="S59" i="4" a="1"/>
  <c r="S59" i="4" s="1"/>
  <c r="T59" i="4" s="1"/>
  <c r="S126" i="4" a="1"/>
  <c r="S126" i="4" s="1"/>
  <c r="T126" i="4" s="1"/>
  <c r="R126" i="4" a="1"/>
  <c r="R126" i="4" s="1"/>
  <c r="S105" i="4" a="1"/>
  <c r="S105" i="4" s="1"/>
  <c r="T105" i="4" s="1"/>
  <c r="R105" i="4" a="1"/>
  <c r="R105" i="4" s="1"/>
  <c r="S81" i="4" a="1"/>
  <c r="S81" i="4" s="1"/>
  <c r="T81" i="4" s="1"/>
  <c r="R81" i="4" a="1"/>
  <c r="R81" i="4" s="1"/>
  <c r="S56" i="4" a="1"/>
  <c r="S56" i="4" s="1"/>
  <c r="T56" i="4" s="1"/>
  <c r="R56" i="4" a="1"/>
  <c r="R56" i="4" s="1"/>
  <c r="S77" i="4" a="1"/>
  <c r="S77" i="4" s="1"/>
  <c r="T77" i="4" s="1"/>
  <c r="R77" i="4" a="1"/>
  <c r="R77" i="4" s="1"/>
  <c r="M84" i="4"/>
  <c r="R68" i="4" a="1"/>
  <c r="R68" i="4" s="1"/>
  <c r="S68" i="4" a="1"/>
  <c r="S68" i="4" s="1"/>
  <c r="T68" i="4" s="1"/>
  <c r="S60" i="4" a="1"/>
  <c r="S60" i="4" s="1"/>
  <c r="T60" i="4" s="1"/>
  <c r="R60" i="4" a="1"/>
  <c r="R60" i="4" s="1"/>
  <c r="S41" i="4" a="1"/>
  <c r="S41" i="4" s="1"/>
  <c r="T41" i="4" s="1"/>
  <c r="R41" i="4" a="1"/>
  <c r="R41" i="4" s="1"/>
  <c r="S116" i="4" a="1"/>
  <c r="S116" i="4" s="1"/>
  <c r="T116" i="4" s="1"/>
  <c r="R116" i="4" a="1"/>
  <c r="R116" i="4" s="1"/>
  <c r="M121" i="4"/>
  <c r="M113" i="4"/>
  <c r="M81" i="4"/>
  <c r="S67" i="4" a="1"/>
  <c r="S67" i="4" s="1"/>
  <c r="T67" i="4" s="1"/>
  <c r="R67" i="4" a="1"/>
  <c r="R67" i="4" s="1"/>
  <c r="S70" i="4" a="1"/>
  <c r="S70" i="4" s="1"/>
  <c r="T70" i="4" s="1"/>
  <c r="R70" i="4" a="1"/>
  <c r="R70" i="4" s="1"/>
  <c r="S62" i="4" a="1"/>
  <c r="S62" i="4" s="1"/>
  <c r="T62" i="4" s="1"/>
  <c r="R62" i="4" a="1"/>
  <c r="R62" i="4" s="1"/>
  <c r="M33" i="4"/>
  <c r="L128" i="4"/>
  <c r="L108" i="4"/>
  <c r="S100" i="4" a="1"/>
  <c r="S100" i="4" s="1"/>
  <c r="T100" i="4" s="1"/>
  <c r="R100" i="4" a="1"/>
  <c r="R100" i="4" s="1"/>
  <c r="S72" i="4" a="1"/>
  <c r="S72" i="4" s="1"/>
  <c r="T72" i="4" s="1"/>
  <c r="R72" i="4" a="1"/>
  <c r="R72" i="4" s="1"/>
  <c r="S64" i="4" a="1"/>
  <c r="S64" i="4" s="1"/>
  <c r="T64" i="4" s="1"/>
  <c r="R64" i="4" a="1"/>
  <c r="R64" i="4" s="1"/>
  <c r="S45" i="4" a="1"/>
  <c r="S45" i="4" s="1"/>
  <c r="T45" i="4" s="1"/>
  <c r="R45" i="4" a="1"/>
  <c r="R45" i="4" s="1"/>
  <c r="S52" i="4" a="1"/>
  <c r="S52" i="4" s="1"/>
  <c r="T52" i="4" s="1"/>
  <c r="R52" i="4" a="1"/>
  <c r="R52" i="4" s="1"/>
  <c r="S51" i="4" a="1"/>
  <c r="S51" i="4" s="1"/>
  <c r="T51" i="4" s="1"/>
  <c r="R51" i="4" a="1"/>
  <c r="R51" i="4" s="1"/>
  <c r="R73" i="4" a="1"/>
  <c r="R73" i="4" s="1"/>
  <c r="S73" i="4" a="1"/>
  <c r="S73" i="4" s="1"/>
  <c r="T73" i="4" s="1"/>
  <c r="S55" i="4" a="1"/>
  <c r="S55" i="4" s="1"/>
  <c r="T55" i="4" s="1"/>
  <c r="R55" i="4" a="1"/>
  <c r="R55" i="4" s="1"/>
  <c r="S86" i="4" a="1"/>
  <c r="S86" i="4" s="1"/>
  <c r="T86" i="4" s="1"/>
  <c r="R86" i="4" a="1"/>
  <c r="R86" i="4" s="1"/>
  <c r="S66" i="4" a="1"/>
  <c r="S66" i="4" s="1"/>
  <c r="T66" i="4" s="1"/>
  <c r="R66" i="4" a="1"/>
  <c r="R66" i="4" s="1"/>
  <c r="S28" i="4" a="1"/>
  <c r="S28" i="4" s="1"/>
  <c r="T28" i="4" s="1"/>
  <c r="R28" i="4" a="1"/>
  <c r="R28" i="4" s="1"/>
  <c r="R29" i="4" a="1"/>
  <c r="R29" i="4" s="1"/>
  <c r="S29" i="4" a="1"/>
  <c r="S29" i="4" s="1"/>
  <c r="T29" i="4" s="1"/>
  <c r="M26" i="4"/>
  <c r="L30" i="4"/>
  <c r="M28" i="4"/>
  <c r="S33" i="4" a="1"/>
  <c r="S33" i="4" s="1"/>
  <c r="T33" i="4" s="1"/>
  <c r="R33" i="4" a="1"/>
  <c r="R33" i="4" s="1"/>
  <c r="S25" i="4" a="1"/>
  <c r="S25" i="4" s="1"/>
  <c r="T25" i="4" s="1"/>
  <c r="R25" i="4" a="1"/>
  <c r="R25" i="4" s="1"/>
  <c r="S31" i="4" a="1"/>
  <c r="S31" i="4" s="1"/>
  <c r="T31" i="4" s="1"/>
  <c r="R31" i="4" a="1"/>
  <c r="R31" i="4" s="1"/>
  <c r="R34" i="4" a="1"/>
  <c r="R34" i="4" s="1"/>
  <c r="S34" i="4" a="1"/>
  <c r="S34" i="4" s="1"/>
  <c r="T34" i="4" s="1"/>
  <c r="S30" i="4" a="1"/>
  <c r="S30" i="4" s="1"/>
  <c r="T30" i="4" s="1"/>
  <c r="R30" i="4" a="1"/>
  <c r="R30" i="4" s="1"/>
  <c r="S26" i="4" a="1"/>
  <c r="S26" i="4" s="1"/>
  <c r="T26" i="4" s="1"/>
  <c r="R26" i="4" a="1"/>
  <c r="R26" i="4" s="1"/>
  <c r="R27" i="4" a="1"/>
  <c r="R27" i="4" s="1"/>
  <c r="S27" i="4" a="1"/>
  <c r="S27" i="4" s="1"/>
  <c r="T27" i="4" s="1"/>
  <c r="X17" i="4" a="1"/>
  <c r="X17" i="4" s="1"/>
  <c r="P17" i="4"/>
  <c r="Q17" i="4" s="1"/>
  <c r="D9" i="12"/>
  <c r="F9" i="12" a="1"/>
  <c r="F9" i="12" s="1"/>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F8" i="12" a="1"/>
  <c r="F8"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E9" i="12" s="1" a="1"/>
  <c r="E9" i="12" s="1"/>
  <c r="V4" i="4" a="1"/>
  <c r="V4" i="4" s="1"/>
  <c r="X22" i="4" a="1"/>
  <c r="X22" i="4" s="1"/>
  <c r="X12" i="4" a="1"/>
  <c r="X12" i="4" s="1"/>
  <c r="X16" i="4" a="1"/>
  <c r="X16" i="4" s="1"/>
  <c r="X18" i="4" a="1"/>
  <c r="X18" i="4" s="1"/>
  <c r="E8" i="8"/>
  <c r="E7" i="8"/>
  <c r="F18" i="8"/>
  <c r="D15" i="8"/>
  <c r="U15" i="8" s="1" a="1"/>
  <c r="U15" i="8" s="1"/>
  <c r="F17" i="8"/>
  <c r="F14" i="8"/>
  <c r="M18" i="4"/>
  <c r="M7" i="4"/>
  <c r="M10" i="4"/>
  <c r="M13" i="4"/>
  <c r="X10" i="4" a="1"/>
  <c r="X10" i="4" s="1"/>
  <c r="X7" i="4" a="1"/>
  <c r="X7" i="4" s="1"/>
  <c r="V5" i="4" a="1"/>
  <c r="V5" i="4" s="1"/>
  <c r="X23" i="4" a="1"/>
  <c r="X23" i="4" s="1"/>
  <c r="V10" i="4" a="1"/>
  <c r="V10" i="4" s="1"/>
  <c r="X19" i="4" a="1"/>
  <c r="X19" i="4" s="1"/>
  <c r="X20" i="4" a="1"/>
  <c r="X20" i="4" s="1"/>
  <c r="X6" i="4" a="1"/>
  <c r="X6" i="4" s="1"/>
  <c r="X4" i="4" a="1"/>
  <c r="X4" i="4" s="1"/>
  <c r="X15" i="4" a="1"/>
  <c r="X15" i="4" s="1"/>
  <c r="M11" i="4"/>
  <c r="M14" i="4"/>
  <c r="M21" i="4"/>
  <c r="W21" i="4" a="1"/>
  <c r="W21" i="4" s="1"/>
  <c r="X21" i="4" a="1"/>
  <c r="X21" i="4" s="1"/>
  <c r="M9" i="4"/>
  <c r="M5" i="4"/>
  <c r="M22" i="4"/>
  <c r="M4" i="4"/>
  <c r="W5" i="4" a="1"/>
  <c r="W5" i="4" s="1"/>
  <c r="X5" i="4" a="1"/>
  <c r="X5" i="4" s="1"/>
  <c r="X9" i="4" a="1"/>
  <c r="X9" i="4" s="1"/>
  <c r="M8" i="4"/>
  <c r="X13" i="4" a="1"/>
  <c r="X13" i="4" s="1"/>
  <c r="V14" i="4" a="1"/>
  <c r="V14" i="4" s="1"/>
  <c r="V7" i="4" a="1"/>
  <c r="V7" i="4" s="1"/>
  <c r="V23" i="4" a="1"/>
  <c r="V23" i="4" s="1"/>
  <c r="V13" i="4" a="1"/>
  <c r="V13" i="4" s="1"/>
  <c r="X8" i="4" a="1"/>
  <c r="X8" i="4" s="1"/>
  <c r="X14" i="4" a="1"/>
  <c r="X14" i="4" s="1"/>
  <c r="X11" i="4" a="1"/>
  <c r="X11" i="4" s="1"/>
  <c r="V8" i="4" a="1"/>
  <c r="V8" i="4" s="1"/>
  <c r="V11" i="4" a="1"/>
  <c r="V11" i="4" s="1"/>
  <c r="E20" i="8"/>
  <c r="M12" i="4"/>
  <c r="M20" i="4"/>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U8" i="8" s="1" a="1"/>
  <c r="U8" i="8" s="1"/>
  <c r="G8" i="8"/>
  <c r="F15" i="8"/>
  <c r="G15" i="8"/>
  <c r="D9" i="8"/>
  <c r="U9" i="8" s="1" a="1"/>
  <c r="U9" i="8" s="1"/>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L21" i="4"/>
  <c r="O21" i="4"/>
  <c r="L22" i="4"/>
  <c r="O22" i="4"/>
  <c r="N4" i="4"/>
  <c r="N22" i="4"/>
  <c r="N10" i="4"/>
  <c r="N5" i="4"/>
  <c r="D4" i="8"/>
  <c r="N17" i="4"/>
  <c r="N16" i="4"/>
  <c r="N6" i="4"/>
  <c r="N23" i="4"/>
  <c r="N18" i="4"/>
  <c r="N12" i="4"/>
  <c r="N7" i="4"/>
  <c r="N13" i="4"/>
  <c r="L16" i="4"/>
  <c r="N21" i="4"/>
  <c r="N8" i="4"/>
  <c r="N14" i="4"/>
  <c r="N9" i="4"/>
  <c r="L10" i="4"/>
  <c r="L12" i="4"/>
  <c r="L13" i="4"/>
  <c r="L4" i="4"/>
  <c r="L7" i="4"/>
  <c r="L9" i="4"/>
  <c r="L23" i="4"/>
  <c r="L6" i="4"/>
  <c r="L8" i="4"/>
  <c r="L14" i="4"/>
  <c r="L11" i="4"/>
  <c r="M19" i="4"/>
  <c r="M15" i="4"/>
  <c r="L17" i="4" l="1"/>
  <c r="L11" i="8" a="1"/>
  <c r="L11" i="8" s="1"/>
  <c r="L20" i="8" a="1"/>
  <c r="L20" i="8" s="1"/>
  <c r="L4" i="8" a="1"/>
  <c r="L4" i="8" s="1"/>
  <c r="K8" i="8" a="1"/>
  <c r="K8" i="8" s="1"/>
  <c r="O12" i="8" a="1"/>
  <c r="O12" i="8" s="1"/>
  <c r="K19" i="8" a="1"/>
  <c r="K19" i="8" s="1"/>
  <c r="L22" i="8" a="1"/>
  <c r="L22" i="8" s="1"/>
  <c r="L6" i="8" a="1"/>
  <c r="L6" i="8" s="1"/>
  <c r="T6" i="8" s="1" a="1"/>
  <c r="T6" i="8" s="1"/>
  <c r="K10" i="8" a="1"/>
  <c r="K10" i="8" s="1"/>
  <c r="O14" i="8" a="1"/>
  <c r="O14" i="8" s="1"/>
  <c r="L7" i="8" a="1"/>
  <c r="L7" i="8" s="1"/>
  <c r="L21" i="8" a="1"/>
  <c r="L21" i="8" s="1"/>
  <c r="T21" i="8" s="1" a="1"/>
  <c r="T21" i="8" s="1"/>
  <c r="L5" i="8" a="1"/>
  <c r="L5" i="8" s="1"/>
  <c r="K9" i="8" a="1"/>
  <c r="K9" i="8" s="1"/>
  <c r="O13" i="8" a="1"/>
  <c r="O13" i="8" s="1"/>
  <c r="K23" i="8" a="1"/>
  <c r="K23" i="8" s="1"/>
  <c r="L16" i="8" a="1"/>
  <c r="L16" i="8" s="1"/>
  <c r="K20" i="8" a="1"/>
  <c r="K20" i="8" s="1"/>
  <c r="K4" i="8" a="1"/>
  <c r="K4" i="8" s="1"/>
  <c r="O8" i="8" a="1"/>
  <c r="O8" i="8" s="1"/>
  <c r="K7" i="8" a="1"/>
  <c r="K7" i="8" s="1"/>
  <c r="L18" i="8" a="1"/>
  <c r="L18" i="8" s="1"/>
  <c r="K22" i="8" a="1"/>
  <c r="K22" i="8" s="1"/>
  <c r="K6" i="8" a="1"/>
  <c r="K6" i="8" s="1"/>
  <c r="O10" i="8" a="1"/>
  <c r="O10" i="8" s="1"/>
  <c r="K15" i="8" a="1"/>
  <c r="K15" i="8" s="1"/>
  <c r="L17" i="8" a="1"/>
  <c r="L17" i="8" s="1"/>
  <c r="K21" i="8" a="1"/>
  <c r="K21" i="8" s="1"/>
  <c r="K5" i="8" a="1"/>
  <c r="K5" i="8" s="1"/>
  <c r="O9" i="8" a="1"/>
  <c r="O9" i="8" s="1"/>
  <c r="K11" i="8" a="1"/>
  <c r="K11" i="8" s="1"/>
  <c r="L12" i="8" a="1"/>
  <c r="L12" i="8" s="1"/>
  <c r="T12" i="8" s="1" a="1"/>
  <c r="T12" i="8" s="1"/>
  <c r="K16" i="8" a="1"/>
  <c r="K16" i="8" s="1"/>
  <c r="O20" i="8" a="1"/>
  <c r="O20" i="8" s="1"/>
  <c r="O4" i="8" a="1"/>
  <c r="O4" i="8" s="1"/>
  <c r="O19" i="8" a="1"/>
  <c r="O19" i="8" s="1"/>
  <c r="L14" i="8" a="1"/>
  <c r="L14" i="8" s="1"/>
  <c r="K18" i="8" a="1"/>
  <c r="K18" i="8" s="1"/>
  <c r="O22" i="8" a="1"/>
  <c r="O22" i="8" s="1"/>
  <c r="O6" i="8" a="1"/>
  <c r="O6" i="8" s="1"/>
  <c r="O23" i="8" a="1"/>
  <c r="O23" i="8" s="1"/>
  <c r="L13" i="8" a="1"/>
  <c r="L13" i="8" s="1"/>
  <c r="K17" i="8" a="1"/>
  <c r="K17" i="8" s="1"/>
  <c r="O21" i="8" a="1"/>
  <c r="O21" i="8" s="1"/>
  <c r="O5" i="8" a="1"/>
  <c r="O5" i="8" s="1"/>
  <c r="L23" i="8" a="1"/>
  <c r="L23" i="8" s="1"/>
  <c r="O11" i="8" a="1"/>
  <c r="O11" i="8" s="1"/>
  <c r="L8" i="8" a="1"/>
  <c r="L8" i="8" s="1"/>
  <c r="T8" i="8" s="1" a="1"/>
  <c r="T8" i="8" s="1"/>
  <c r="K12" i="8" a="1"/>
  <c r="K12" i="8" s="1"/>
  <c r="O16" i="8" a="1"/>
  <c r="O16" i="8" s="1"/>
  <c r="L15" i="8" a="1"/>
  <c r="L15" i="8" s="1"/>
  <c r="O7" i="8" a="1"/>
  <c r="O7" i="8" s="1"/>
  <c r="L10" i="8" a="1"/>
  <c r="L10" i="8" s="1"/>
  <c r="T10" i="8" s="1" a="1"/>
  <c r="T10" i="8" s="1"/>
  <c r="K14" i="8" a="1"/>
  <c r="K14" i="8" s="1"/>
  <c r="O18" i="8" a="1"/>
  <c r="O18" i="8" s="1"/>
  <c r="L19" i="8" a="1"/>
  <c r="L19" i="8" s="1"/>
  <c r="T19" i="8" s="1" a="1"/>
  <c r="T19" i="8" s="1"/>
  <c r="O15" i="8" a="1"/>
  <c r="O15" i="8" s="1"/>
  <c r="L9" i="8" a="1"/>
  <c r="L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T15" i="8" a="1"/>
  <c r="T15" i="8" s="1"/>
  <c r="I10" i="8" a="1"/>
  <c r="I10" i="8" s="1"/>
  <c r="Q10" i="8" s="1" a="1"/>
  <c r="Q10" i="8" s="1"/>
  <c r="I8" i="8" a="1"/>
  <c r="I8" i="8" s="1"/>
  <c r="Q8" i="8" s="1" a="1"/>
  <c r="Q8" i="8" s="1"/>
  <c r="T11" i="8" a="1"/>
  <c r="T11" i="8" s="1"/>
  <c r="I7" i="8" a="1"/>
  <c r="I7" i="8" s="1"/>
  <c r="Q7" i="8" s="1" a="1"/>
  <c r="Q7" i="8" s="1"/>
  <c r="I6" i="8" a="1"/>
  <c r="I6" i="8" s="1"/>
  <c r="Q6" i="8" s="1" a="1"/>
  <c r="Q6" i="8" s="1"/>
  <c r="I5" i="8" a="1"/>
  <c r="I5" i="8" s="1"/>
  <c r="Q5" i="8" s="1" a="1"/>
  <c r="Q5" i="8" s="1"/>
  <c r="T18" i="8" a="1"/>
  <c r="T18" i="8" s="1"/>
  <c r="T17" i="8" a="1"/>
  <c r="T17" i="8" s="1"/>
  <c r="T20" i="8" a="1"/>
  <c r="T20" i="8" s="1"/>
  <c r="F5" i="7" a="1"/>
  <c r="F5" i="7" s="1"/>
  <c r="I23" i="8" a="1"/>
  <c r="I23" i="8" s="1"/>
  <c r="Q23" i="8" s="1" a="1"/>
  <c r="Q23" i="8" s="1"/>
  <c r="I22" i="8" a="1"/>
  <c r="I22" i="8" s="1"/>
  <c r="Q22" i="8" s="1" a="1"/>
  <c r="Q22" i="8" s="1"/>
  <c r="I21" i="8" a="1"/>
  <c r="I21" i="8" s="1"/>
  <c r="Q21" i="8" s="1" a="1"/>
  <c r="Q21" i="8" s="1"/>
  <c r="I16" i="8" a="1"/>
  <c r="I16" i="8" s="1"/>
  <c r="Q16" i="8" s="1" a="1"/>
  <c r="Q16" i="8" s="1"/>
  <c r="T14" i="8" a="1"/>
  <c r="T14" i="8" s="1"/>
  <c r="T13" i="8" a="1"/>
  <c r="T13" i="8" s="1"/>
  <c r="E4" i="6" a="1"/>
  <c r="E4" i="6" s="1"/>
  <c r="E20" i="12" a="1"/>
  <c r="E20" i="12" s="1"/>
  <c r="E5" i="12" a="1"/>
  <c r="E5" i="12" s="1"/>
  <c r="F5" i="12" s="1" a="1"/>
  <c r="F5" i="12" s="1"/>
  <c r="E6" i="12" a="1"/>
  <c r="E6" i="12" s="1"/>
  <c r="F6" i="12" s="1" a="1"/>
  <c r="F6" i="12" s="1"/>
  <c r="E8" i="12" a="1"/>
  <c r="E8" i="12" s="1"/>
  <c r="E7" i="12" a="1"/>
  <c r="E7" i="12" s="1"/>
  <c r="F7" i="12" s="1" a="1"/>
  <c r="F7" i="12" s="1"/>
  <c r="E12" i="12" a="1"/>
  <c r="E12" i="12" s="1"/>
  <c r="F5" i="6" a="1"/>
  <c r="F5" i="6" s="1"/>
  <c r="E6" i="6" a="1"/>
  <c r="E6" i="6" s="1"/>
  <c r="F8" i="6" a="1"/>
  <c r="F8" i="6" s="1"/>
  <c r="E5" i="6" a="1"/>
  <c r="E5" i="6" s="1"/>
  <c r="F7" i="6" a="1"/>
  <c r="F7" i="6" s="1"/>
  <c r="F4" i="6" a="1"/>
  <c r="F4" i="6" s="1"/>
  <c r="E19" i="6" a="1"/>
  <c r="E19" i="6" s="1"/>
  <c r="E15" i="12" a="1"/>
  <c r="E15" i="12" s="1"/>
  <c r="E10" i="12" a="1"/>
  <c r="E10" i="12" s="1"/>
  <c r="T7" i="8" a="1"/>
  <c r="T7" i="8"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T22" i="8" a="1"/>
  <c r="T22" i="8" s="1"/>
  <c r="T23" i="8" a="1"/>
  <c r="T23" i="8" s="1"/>
  <c r="T9" i="8" a="1"/>
  <c r="T9" i="8" s="1"/>
  <c r="T16" i="8" a="1"/>
  <c r="T16" i="8" s="1"/>
  <c r="I4" i="8" a="1"/>
  <c r="I4" i="8" s="1"/>
  <c r="Q4" i="8" s="1" a="1"/>
  <c r="Q4" i="8" s="1"/>
  <c r="N6" i="8" a="1"/>
  <c r="N6" i="8" s="1"/>
  <c r="F18" i="6" a="1"/>
  <c r="F18" i="6" s="1"/>
  <c r="E9" i="6" a="1"/>
  <c r="E9" i="6" s="1"/>
  <c r="F13" i="6" a="1"/>
  <c r="F13" i="6" s="1"/>
  <c r="E20" i="6" a="1"/>
  <c r="E20" i="6" s="1"/>
  <c r="E11" i="6" a="1"/>
  <c r="E11" i="6" s="1"/>
  <c r="S13" i="8" a="1"/>
  <c r="S13" i="8" s="1"/>
  <c r="E14" i="6" a="1"/>
  <c r="E14" i="6" s="1"/>
  <c r="F14" i="6" a="1"/>
  <c r="F14" i="6" s="1"/>
  <c r="E21" i="6" a="1"/>
  <c r="E21" i="6" s="1"/>
  <c r="F9" i="6" a="1"/>
  <c r="F9" i="6" s="1"/>
  <c r="E16" i="6" a="1"/>
  <c r="E16" i="6" s="1"/>
  <c r="F20" i="6" a="1"/>
  <c r="F20" i="6" s="1"/>
  <c r="F23" i="6" a="1"/>
  <c r="F23" i="6" s="1"/>
  <c r="N20" i="8" a="1"/>
  <c r="N20" i="8" s="1"/>
  <c r="N5" i="8" a="1"/>
  <c r="N5" i="8" s="1"/>
  <c r="H6" i="11" a="1"/>
  <c r="H6" i="11" s="1"/>
  <c r="H7" i="11" a="1"/>
  <c r="H7" i="11" s="1"/>
  <c r="H5" i="11" a="1"/>
  <c r="H5" i="11" s="1"/>
  <c r="J5" i="11" s="1" a="1"/>
  <c r="J5" i="11" s="1"/>
  <c r="E10" i="6" a="1"/>
  <c r="E10" i="6" s="1"/>
  <c r="E18" i="6" a="1"/>
  <c r="E18" i="6" s="1"/>
  <c r="F10" i="6" a="1"/>
  <c r="F10" i="6" s="1"/>
  <c r="E17" i="6" a="1"/>
  <c r="E17" i="6" s="1"/>
  <c r="F21" i="6" a="1"/>
  <c r="F21" i="6" s="1"/>
  <c r="E12" i="6" a="1"/>
  <c r="E12" i="6" s="1"/>
  <c r="F16" i="6" a="1"/>
  <c r="F16" i="6" s="1"/>
  <c r="F15" i="6" a="1"/>
  <c r="F15" i="6" s="1"/>
  <c r="N15" i="8" a="1"/>
  <c r="N15" i="8" s="1"/>
  <c r="E22" i="6" a="1"/>
  <c r="E22" i="6" s="1"/>
  <c r="F22" i="6" a="1"/>
  <c r="F22" i="6" s="1"/>
  <c r="E13" i="6" a="1"/>
  <c r="E13" i="6" s="1"/>
  <c r="F17" i="6" a="1"/>
  <c r="F17" i="6" s="1"/>
  <c r="E8" i="6" a="1"/>
  <c r="E8" i="6" s="1"/>
  <c r="F12" i="6" a="1"/>
  <c r="F12" i="6" s="1"/>
  <c r="S8" i="4" a="1"/>
  <c r="S8" i="4" s="1"/>
  <c r="G7" i="11" a="1"/>
  <c r="G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E15" i="6" a="1"/>
  <c r="E15" i="6" s="1"/>
  <c r="F19" i="6" a="1"/>
  <c r="F19" i="6" s="1"/>
  <c r="N19" i="8" a="1"/>
  <c r="N19" i="8" s="1"/>
  <c r="E23" i="6" a="1"/>
  <c r="E23" i="6"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S9" i="8" a="1"/>
  <c r="S9" i="8" s="1"/>
  <c r="H9" i="11" a="1"/>
  <c r="H9" i="11" s="1"/>
  <c r="G17" i="11" a="1"/>
  <c r="G17" i="11" s="1"/>
  <c r="G14" i="11" a="1"/>
  <c r="G14" i="11" s="1"/>
  <c r="J7" i="8" a="1"/>
  <c r="J7" i="8" s="1"/>
  <c r="G18" i="11" a="1"/>
  <c r="G18" i="11" s="1"/>
  <c r="G8" i="11" a="1"/>
  <c r="G8" i="11" s="1"/>
  <c r="H18" i="11" a="1"/>
  <c r="H18" i="11" s="1"/>
  <c r="G10" i="11" a="1"/>
  <c r="G10" i="11" s="1"/>
  <c r="H11" i="11" a="1"/>
  <c r="H11" i="11" s="1"/>
  <c r="S11" i="8" a="1"/>
  <c r="S11" i="8" s="1"/>
  <c r="H20" i="11" a="1"/>
  <c r="H20" i="11" s="1"/>
  <c r="G9" i="11" a="1"/>
  <c r="G9" i="11" s="1"/>
  <c r="H22" i="11" a="1"/>
  <c r="H22" i="11" s="1"/>
  <c r="G12" i="11" a="1"/>
  <c r="G12" i="11" s="1"/>
  <c r="S15" i="8" a="1"/>
  <c r="S15" i="8" s="1"/>
  <c r="H16" i="11" a="1"/>
  <c r="H16" i="11" s="1"/>
  <c r="H8" i="11" a="1"/>
  <c r="H8" i="11" s="1"/>
  <c r="G21" i="11" a="1"/>
  <c r="G21" i="11" s="1"/>
  <c r="S7" i="8" a="1"/>
  <c r="S7" i="8" s="1"/>
  <c r="S17" i="8" a="1"/>
  <c r="S17" i="8"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R9" i="8" s="1" a="1"/>
  <c r="R9" i="8" s="1"/>
  <c r="J16" i="8" a="1"/>
  <c r="J16" i="8" s="1"/>
  <c r="J5" i="8" a="1"/>
  <c r="J5" i="8" s="1"/>
  <c r="J14" i="8" a="1"/>
  <c r="J14" i="8" s="1"/>
  <c r="J6" i="8" a="1"/>
  <c r="J6" i="8" s="1"/>
  <c r="R6" i="8" s="1" a="1"/>
  <c r="R6" i="8" s="1"/>
  <c r="J4" i="8" a="1"/>
  <c r="J4" i="8" s="1"/>
  <c r="P16" i="8" a="1"/>
  <c r="P16" i="8" s="1"/>
  <c r="P4" i="8" a="1"/>
  <c r="P4" i="8" s="1"/>
  <c r="P11" i="8" a="1"/>
  <c r="P11" i="8" s="1"/>
  <c r="P15" i="8" a="1"/>
  <c r="P15" i="8" s="1"/>
  <c r="J12" i="8" a="1"/>
  <c r="J12" i="8" s="1"/>
  <c r="R12" i="8" s="1" a="1"/>
  <c r="R12" i="8" s="1"/>
  <c r="J15" i="8" a="1"/>
  <c r="J15" i="8" s="1"/>
  <c r="T4" i="8" a="1"/>
  <c r="T4" i="8" s="1"/>
  <c r="P19" i="8" a="1"/>
  <c r="P19" i="8" s="1"/>
  <c r="S18" i="8" a="1"/>
  <c r="S18" i="8" s="1"/>
  <c r="J22" i="8" a="1"/>
  <c r="J22" i="8" s="1"/>
  <c r="J20" i="8" a="1"/>
  <c r="J20" i="8" s="1"/>
  <c r="J13" i="8" a="1"/>
  <c r="J13" i="8" s="1"/>
  <c r="R13" i="8" s="1" a="1"/>
  <c r="R13" i="8" s="1"/>
  <c r="J19" i="8" a="1"/>
  <c r="J19" i="8" s="1"/>
  <c r="R19" i="8" s="1" a="1"/>
  <c r="R19" i="8" s="1"/>
  <c r="J11" i="8" a="1"/>
  <c r="J11" i="8" s="1"/>
  <c r="S5" i="8" a="1"/>
  <c r="S5" i="8" s="1"/>
  <c r="Q13" i="8" a="1"/>
  <c r="Q13" i="8" s="1"/>
  <c r="G6" i="7" a="1"/>
  <c r="G6" i="7" s="1"/>
  <c r="S22" i="4" a="1"/>
  <c r="S22" i="4" s="1"/>
  <c r="T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S23" i="8" l="1"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D22" i="6" a="1"/>
  <c r="D22" i="6" s="1"/>
  <c r="D19" i="6" a="1"/>
  <c r="D19" i="6" s="1"/>
  <c r="D12" i="6" a="1"/>
  <c r="D12" i="6" s="1"/>
  <c r="M7" i="8" a="1"/>
  <c r="M7" i="8" s="1"/>
  <c r="U7" i="8" s="1" a="1"/>
  <c r="U7" i="8" s="1"/>
  <c r="C4" i="10" a="1"/>
  <c r="C4" i="10" s="1"/>
  <c r="D4" i="10" s="1" a="1"/>
  <c r="D4" i="10" s="1"/>
  <c r="T5" i="4"/>
  <c r="M4" i="8" s="1" a="1"/>
  <c r="M4" i="8" s="1"/>
  <c r="S6" i="8" a="1"/>
  <c r="S6" i="8" s="1"/>
  <c r="E7" i="7" a="1"/>
  <c r="E7" i="7" s="1"/>
  <c r="S4" i="8" a="1"/>
  <c r="S4" i="8" s="1"/>
  <c r="U4" i="8" s="1" a="1"/>
  <c r="U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F9" i="14" l="1"/>
  <c r="G9" i="14" s="1"/>
  <c r="F6" i="14"/>
  <c r="G6"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F11" i="14" s="1"/>
  <c r="G11" i="14" s="1"/>
  <c r="M15" i="8" a="1"/>
  <c r="M15" i="8" s="1"/>
  <c r="F17" i="14" s="1"/>
  <c r="G17" i="14" s="1"/>
  <c r="M11" i="8" a="1"/>
  <c r="M11" i="8" s="1"/>
  <c r="F13" i="14" s="1"/>
  <c r="G13" i="14" s="1"/>
  <c r="M8" i="8" a="1"/>
  <c r="M8" i="8" s="1"/>
  <c r="F10" i="14" s="1"/>
  <c r="G10" i="14" s="1"/>
  <c r="M5" i="8" a="1"/>
  <c r="M5" i="8" s="1"/>
  <c r="M6" i="8" a="1"/>
  <c r="M6" i="8" s="1"/>
  <c r="M19" i="8" a="1"/>
  <c r="M19" i="8" s="1"/>
  <c r="F21" i="14" s="1"/>
  <c r="G21" i="14" s="1"/>
  <c r="M20" i="8" a="1"/>
  <c r="M20" i="8" s="1"/>
  <c r="F22" i="14" s="1"/>
  <c r="G22" i="14" s="1"/>
  <c r="M22" i="8" a="1"/>
  <c r="M22" i="8" s="1"/>
  <c r="F24" i="14" s="1"/>
  <c r="G24" i="14" s="1"/>
  <c r="M16" i="8" a="1"/>
  <c r="M16" i="8" s="1"/>
  <c r="F18" i="14" s="1"/>
  <c r="G18" i="14" s="1"/>
  <c r="U6" i="8" l="1"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<sst xmlns="http://schemas.openxmlformats.org/spreadsheetml/2006/main" count="267" uniqueCount="197">
  <si>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</si>
  <si>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</si>
  <si>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</si>
  <si>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</si>
  <si>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</si>
  <si>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</si>
  <si>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</si>
  <si>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</si>
  <si>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</si>
  <si>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</si>
  <si>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</si>
  <si>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</si>
  <si>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</si>
  <si>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</si>
  <si>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</si>
  <si>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</si>
  <si>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</si>
  <si>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</si>
  <si>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</si>
  <si>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</si>
  <si>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</si>
  <si>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</si>
  <si>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</si>
  <si>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</si>
  <si>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</si>
  <si>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</si>
  <si>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</si>
  <si>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</si>
  <si>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</si>
  <si>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</si>
  <si>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</si>
  <si>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</si>
  <si>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</si>
  <si>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</si>
  <si>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</si>
  <si>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</si>
  <si>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</si>
  <si>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</si>
  <si>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</si>
  <si>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</si>
  <si>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</si>
  <si>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</si>
  <si>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</si>
  <si>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</si>
  <si>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</si>
  <si>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</si>
  <si>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</si>
  <si>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</si>
  <si>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</si>
  <si>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</si>
  <si>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</si>
  <si>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</si>
  <si>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</si>
  <si>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</si>
  <si>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</si>
  <si>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</si>
  <si>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</si>
  <si>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</si>
  <si>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</si>
  <si>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</si>
  <si>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</si>
  <si>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</si>
  <si>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</si>
  <si>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</si>
  <si>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</si>
  <si>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</si>
  <si>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</si>
  <si>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</si>
  <si>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</si>
  <si>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</si>
  <si>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</si>
  <si>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</si>
  <si>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</si>
  <si>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</si>
  <si>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</si>
  <si>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</si>
  <si>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</si>
  <si>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</si>
  <si>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</si>
  <si>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</si>
  <si>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</si>
  <si>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</si>
  <si>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</si>
  <si>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</si>
  <si>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 xml:space="preserve">        public __Type__ __EntityProperty__ =&gt; _entity.__EntityProperty__.Value;</t>
    <phoneticPr fontId="1"/>
  </si>
  <si>
    <t>ViewModelEntity_Property_getset</t>
  </si>
  <si>
    <t>ViewModelEntity_Property_getset</t>
    <phoneticPr fontId="1"/>
  </si>
  <si>
    <t xml:space="preserve">       public __Type__ __EntityProperty__ 
        {
            get { return _entity.__EntityProperty__.Value; }
            set { _entity.__EntityProperty__ = new __EntityProperty__(value); }
        }</t>
    <phoneticPr fontId="1"/>
  </si>
  <si>
    <t>using __SN__.Domain.Entities;
namespace __SN__.WPF.ViewModels
{
    public class __Vme__
    {
        private __Entity__ _entity;
        public __Vme__(__Entity__ entity)
        {
            _entity = entity;
        }
        __VmeProperty__
        public __Entity__ Entity { get { return _entity; } }
    }
}</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</si>
  <si>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</si>
  <si>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</si>
  <si>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</si>
  <si>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</si>
  <si>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</si>
  <si>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</si>
  <si>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</si>
  <si>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</si>
  <si>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</si>
  <si>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</si>
  <si>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</si>
  <si>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</si>
  <si>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</si>
  <si>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</si>
  <si>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</si>
  <si>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</si>
  <si>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</si>
  <si>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</si>
  <si>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</si>
  <si>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</si>
  <si>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</si>
  <si>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</si>
  <si>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</si>
  <si>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</si>
  <si>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</si>
  <si>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</si>
  <si>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</si>
  <si>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</si>
  <si>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</si>
  <si>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</si>
  <si>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</si>
  <si>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</si>
  <si>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</si>
  <si>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</si>
  <si>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</si>
  <si>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</si>
  <si>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</si>
  <si>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</si>
  <si>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</si>
  <si>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</si>
  <si>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</si>
  <si>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</si>
  <si>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</si>
  <si>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</si>
  <si>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</si>
  <si>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</si>
  <si>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</si>
  <si>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</si>
  <si>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</si>
  <si>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</si>
  <si>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</si>
  <si>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</si>
  <si>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</si>
  <si>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</si>
  <si>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</si>
  <si>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</si>
  <si>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</si>
  <si>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</si>
  <si>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</si>
  <si>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</si>
  <si>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</si>
  <si>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</si>
  <si>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</si>
  <si>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</si>
  <si>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</si>
  <si>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</si>
  <si>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</si>
  <si>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</si>
  <si>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</si>
  <si>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</si>
  <si>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</si>
  <si>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</si>
  <si>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</si>
  <si>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</si>
  <si>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</si>
  <si>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</si>
  <si>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</si>
  <si>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</si>
  <si>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</si>
  <si>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</si>
  <si>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</si>
  <si>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</si>
  <si>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</si>
  <si>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</si>
  <si>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</si>
  <si>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</si>
  <si>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</si>
  <si>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</si>
  <si>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</si>
  <si>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</si>
  <si>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</si>
  <si>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</si>
  <si>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画像リンク</t>
    <rPh sb="0" eb="2">
      <t>ガゾウ</t>
    </rPh>
    <phoneticPr fontId="1"/>
  </si>
  <si>
    <t>image_link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</si>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</sst>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zoomScale="70" zoomScaleNormal="70" workbookViewId="0"/>
  </sheetViews>
  <sheetFormatPr defaultRowHeight="15.45"/>
  <cols>
    <col min="1" max="1" width="2.5625" customWidth="1"/>
    <col min="2" max="2" width="6.25" customWidth="1"/>
    <col min="3" max="3" width="22.9375" customWidth="1"/>
    <col min="4" max="5" width="33.6875" customWidth="1"/>
    <col min="6" max="6" width="31.0625" bestFit="1"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111</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112</v>
      </c>
      <c r="D11" s="8" t="s">
        <v>113</v>
      </c>
      <c r="E11" s="28" t="s">
        <v>118</v>
      </c>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114</v>
      </c>
      <c r="M11" s="8" t="s">
        <v>115</v>
      </c>
      <c r="N11" s="8">
        <v>1</v>
      </c>
      <c r="O11" s="8">
        <v>1</v>
      </c>
      <c r="P11" s="8" t="s">
        <v>92</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136</v>
      </c>
      <c r="D12" s="8" t="s">
        <v>137</v>
      </c>
      <c r="E12" s="28" t="s">
        <v>154</v>
      </c>
      <c r="F12" s="6" t="str">
        <f t="shared" ref="F12:F14" si="0">IF(D12&lt;&gt;"",MID(SUBSTITUTE(PROPER(D12),"_",""),$D$5,99)&amp;"Entity","")</f>
        <v>WorkerMstEntity</v>
      </c>
      <c r="I12" s="5">
        <f>ROW(InputValueObjects[[#This Row],[VONo]])-10</f>
        <v>2</v>
      </c>
      <c r="J12" s="8">
        <v>1</v>
      </c>
      <c r="K12" s="5" t="str">
        <f>_xlfn.XLOOKUP(InputValueObjects[[#This Row],[EntityNo]],InputEntities[ENo],InputEntities[Entity],"",0,1)</f>
        <v>SampleMstEntity</v>
      </c>
      <c r="L12" s="8" t="s">
        <v>116</v>
      </c>
      <c r="M12" s="8" t="s">
        <v>117</v>
      </c>
      <c r="N12" s="8"/>
      <c r="O12" s="8">
        <v>1</v>
      </c>
      <c r="P12" s="8" t="s">
        <v>92</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138</v>
      </c>
      <c r="D13" s="8" t="s">
        <v>139</v>
      </c>
      <c r="E13" s="28"/>
      <c r="F13" s="6" t="str">
        <f t="shared" si="0"/>
        <v>WorkingTimePlanMstEntity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173</v>
      </c>
      <c r="D14" s="9" t="s">
        <v>174</v>
      </c>
      <c r="E14" s="28"/>
      <c r="F14" s="7" t="str">
        <f t="shared" si="0"/>
        <v>PageMstEntity</v>
      </c>
      <c r="I14" s="5">
        <f>ROW(InputValueObjects[[#This Row],[VONo]])-10</f>
        <v>4</v>
      </c>
      <c r="J14" s="8">
        <v>2</v>
      </c>
      <c r="K14" s="5" t="str">
        <f>_xlfn.XLOOKUP(InputValueObjects[[#This Row],[EntityNo]],InputEntities[ENo],InputEntities[Entity],"",0,1)</f>
        <v>WorkerMstEntity</v>
      </c>
      <c r="L14" s="8" t="s">
        <v>140</v>
      </c>
      <c r="M14" s="8" t="s">
        <v>141</v>
      </c>
      <c r="N14" s="8">
        <v>1</v>
      </c>
      <c r="O14" s="8">
        <v>1</v>
      </c>
      <c r="P14" s="8" t="s">
        <v>92</v>
      </c>
      <c r="Q14" s="5" t="str">
        <f>SUBSTITUTE(PROPER(InputValueObjects[[#This Row],[DBカラム_物理名]]),"_","")</f>
        <v>WorkerCode</v>
      </c>
      <c r="R14" s="8"/>
      <c r="S14" s="5" t="str">
        <f>InputValueObjects[[#This Row],[ValueObject_ベース]]</f>
        <v>WorkerCode</v>
      </c>
      <c r="T14" s="5" t="str">
        <f>IF(InputValueObjects[[#This Row],[ValueObject_修正]]="",SUBSTITUTE(PROPER(InputValueObjects[[#This Row],[DBカラム_物理名]]),"_",""),InputValueObjects[[#This Row],[ValueObject_修正]])</f>
        <v>WorkerCode</v>
      </c>
      <c r="U14" s="5" t="str">
        <f>IF(InputValueObjects[[#This Row],[型_ベース]]="","",InputValueObjects[[#This Row],[型_ベース]]&amp;IF(InputValueObjects[[#This Row],[NotNull]]=1,"","?"))</f>
        <v>string</v>
      </c>
    </row>
    <row r="15" spans="1:21">
      <c r="B15" s="36">
        <f>ROW(InputEntities[[#This Row],[ENo]])-10</f>
        <v>5</v>
      </c>
      <c r="C15" s="9"/>
      <c r="D15" s="9"/>
      <c r="E15" s="37"/>
      <c r="F15" s="7" t="str">
        <f t="shared" ref="F15" si="1">IF(D15&lt;&gt;"",MID(SUBSTITUTE(PROPER(D15),"_",""),$D$5,99)&amp;"Entity","")</f>
        <v/>
      </c>
      <c r="I15" s="5">
        <f>ROW(InputValueObjects[[#This Row],[VONo]])-10</f>
        <v>5</v>
      </c>
      <c r="J15" s="8">
        <v>2</v>
      </c>
      <c r="K15" s="5" t="str">
        <f>_xlfn.XLOOKUP(InputValueObjects[[#This Row],[EntityNo]],InputEntities[ENo],InputEntities[Entity],"",0,1)</f>
        <v>WorkerMstEntity</v>
      </c>
      <c r="L15" s="8" t="s">
        <v>142</v>
      </c>
      <c r="M15" s="8" t="s">
        <v>143</v>
      </c>
      <c r="N15" s="8"/>
      <c r="O15" s="8">
        <v>1</v>
      </c>
      <c r="P15" s="8" t="s">
        <v>92</v>
      </c>
      <c r="Q15" s="5" t="str">
        <f>SUBSTITUTE(PROPER(InputValueObjects[[#This Row],[DBカラム_物理名]]),"_","")</f>
        <v>WorkerName</v>
      </c>
      <c r="R15" s="8"/>
      <c r="S15" s="5" t="str">
        <f>InputValueObjects[[#This Row],[ValueObject_ベース]]</f>
        <v>WorkerName</v>
      </c>
      <c r="T15" s="5" t="str">
        <f>IF(InputValueObjects[[#This Row],[ValueObject_修正]]="",SUBSTITUTE(PROPER(InputValueObjects[[#This Row],[DBカラム_物理名]]),"_",""),InputValueObjects[[#This Row],[ValueObject_修正]])</f>
        <v>WorkerName</v>
      </c>
      <c r="U15" s="5" t="str">
        <f>IF(InputValueObjects[[#This Row],[型_ベース]]="","",InputValueObjects[[#This Row],[型_ベース]]&amp;IF(InputValueObjects[[#This Row],[NotNull]]=1,"","?"))</f>
        <v>string</v>
      </c>
    </row>
    <row r="16" spans="1:21">
      <c r="B16" s="36">
        <f>ROW(InputEntities[[#This Row],[ENo]])-10</f>
        <v>6</v>
      </c>
      <c r="C16" s="9"/>
      <c r="D16" s="9"/>
      <c r="E16" s="37"/>
      <c r="F16" s="7" t="str">
        <f t="shared" ref="F16:F30" si="2">IF(D16&lt;&gt;"",MID(SUBSTITUTE(PROPER(D16),"_",""),$D$5,99)&amp;"Entity","")</f>
        <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WorkingTimePlanMstEntity</v>
      </c>
      <c r="L17" s="8" t="s">
        <v>144</v>
      </c>
      <c r="M17" s="8" t="s">
        <v>141</v>
      </c>
      <c r="N17" s="8">
        <v>1</v>
      </c>
      <c r="O17" s="8">
        <v>1</v>
      </c>
      <c r="P17" s="8" t="s">
        <v>92</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WorkingTimePlanMstEntity</v>
      </c>
      <c r="L18" s="8" t="s">
        <v>145</v>
      </c>
      <c r="M18" s="8" t="s">
        <v>146</v>
      </c>
      <c r="N18" s="8">
        <v>2</v>
      </c>
      <c r="O18" s="8">
        <v>1</v>
      </c>
      <c r="P18" s="8" t="s">
        <v>147</v>
      </c>
      <c r="Q18" s="5" t="str">
        <f>SUBSTITUTE(PROPER(InputValueObjects[[#This Row],[DBカラム_物理名]]),"_","")</f>
        <v>Weekday</v>
      </c>
      <c r="R18" s="8"/>
      <c r="S18" s="5" t="str">
        <f>InputValueObjects[[#This Row],[ValueObject_ベース]]</f>
        <v>Weekday</v>
      </c>
      <c r="T18" s="5" t="str">
        <f>IF(InputValueObjects[[#This Row],[ValueObject_修正]]="",SUBSTITUTE(PROPER(InputValueObjects[[#This Row],[DBカラム_物理名]]),"_",""),InputValueObjects[[#This Row],[ValueObject_修正]])</f>
        <v>Weekday</v>
      </c>
      <c r="U18" s="5" t="str">
        <f>IF(InputValueObjects[[#This Row],[型_ベース]]="","",InputValueObjects[[#This Row],[型_ベース]]&amp;IF(InputValueObjects[[#This Row],[NotNull]]=1,"","?"))</f>
        <v>int</v>
      </c>
    </row>
    <row r="19" spans="2:21">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WorkingTimePlanMstEntity</v>
      </c>
      <c r="L19" s="8" t="s">
        <v>148</v>
      </c>
      <c r="M19" s="8" t="s">
        <v>149</v>
      </c>
      <c r="N19" s="8"/>
      <c r="O19" s="8"/>
      <c r="P19" s="8" t="s">
        <v>150</v>
      </c>
      <c r="Q19" s="5" t="str">
        <f>SUBSTITUTE(PROPER(InputValueObjects[[#This Row],[DBカラム_物理名]]),"_","")</f>
        <v>WorkingTime</v>
      </c>
      <c r="R19" s="8"/>
      <c r="S19" s="5" t="str">
        <f>InputValueObjects[[#This Row],[ValueObject_ベース]]</f>
        <v>WorkingTime</v>
      </c>
      <c r="T19" s="5" t="str">
        <f>IF(InputValueObjects[[#This Row],[ValueObject_修正]]="",SUBSTITUTE(PROPER(InputValueObjects[[#This Row],[DBカラム_物理名]]),"_",""),InputValueObjects[[#This Row],[ValueObject_修正]])</f>
        <v>WorkingTime</v>
      </c>
      <c r="U19" s="5" t="str">
        <f>IF(InputValueObjects[[#This Row],[型_ベース]]="","",InputValueObjects[[#This Row],[型_ベース]]&amp;IF(InputValueObjects[[#This Row],[NotNull]]=1,"","?"))</f>
        <v>float?</v>
      </c>
    </row>
    <row r="20" spans="2:21">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c r="B21" s="36">
        <f>ROW(InputEntities[[#This Row],[ENo]])-10</f>
        <v>11</v>
      </c>
      <c r="C21" s="9"/>
      <c r="D21" s="9"/>
      <c r="E21" s="37"/>
      <c r="F21" s="7" t="str">
        <f t="shared" si="2"/>
        <v/>
      </c>
      <c r="I21" s="16">
        <f>ROW(InputValueObjects[[#This Row],[VONo]])-10</f>
        <v>11</v>
      </c>
      <c r="J21" s="8">
        <v>4</v>
      </c>
      <c r="K21" s="16" t="str">
        <f>_xlfn.XLOOKUP(InputValueObjects[[#This Row],[EntityNo]],InputEntities[ENo],InputEntities[Entity],"",0,1)</f>
        <v>PageMstEntity</v>
      </c>
      <c r="L21" s="9" t="s">
        <v>175</v>
      </c>
      <c r="M21" s="9" t="s">
        <v>176</v>
      </c>
      <c r="N21" s="9">
        <v>1</v>
      </c>
      <c r="O21" s="9">
        <v>1</v>
      </c>
      <c r="P21" s="9" t="s">
        <v>147</v>
      </c>
      <c r="Q21" s="16" t="str">
        <f>SUBSTITUTE(PROPER(InputValueObjects[[#This Row],[DBカラム_物理名]]),"_","")</f>
        <v>PageId</v>
      </c>
      <c r="R21" s="9"/>
      <c r="S21" s="16" t="str">
        <f>InputValueObjects[[#This Row],[ValueObject_ベース]]</f>
        <v>PageId</v>
      </c>
      <c r="T21" s="5" t="str">
        <f>IF(InputValueObjects[[#This Row],[ValueObject_修正]]="",SUBSTITUTE(PROPER(InputValueObjects[[#This Row],[DBカラム_物理名]]),"_",""),InputValueObjects[[#This Row],[ValueObject_修正]])</f>
        <v>PageId</v>
      </c>
      <c r="U21" s="5" t="str">
        <f>IF(InputValueObjects[[#This Row],[型_ベース]]="","",InputValueObjects[[#This Row],[型_ベース]]&amp;IF(InputValueObjects[[#This Row],[NotNull]]=1,"","?"))</f>
        <v>int</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PageMstEntity</v>
      </c>
      <c r="L22" s="8" t="s">
        <v>177</v>
      </c>
      <c r="M22" s="8" t="s">
        <v>178</v>
      </c>
      <c r="N22" s="8"/>
      <c r="O22" s="8">
        <v>1</v>
      </c>
      <c r="P22" s="8" t="s">
        <v>92</v>
      </c>
      <c r="Q22" s="5" t="str">
        <f>SUBSTITUTE(PROPER(InputValueObjects[[#This Row],[DBカラム_物理名]]),"_","")</f>
        <v>PageName</v>
      </c>
      <c r="R22" s="8"/>
      <c r="S22" s="5" t="str">
        <f>InputValueObjects[[#This Row],[ValueObject_ベース]]</f>
        <v>PageName</v>
      </c>
      <c r="T22" s="5" t="str">
        <f>IF(InputValueObjects[[#This Row],[ValueObject_修正]]="",SUBSTITUTE(PROPER(InputValueObjects[[#This Row],[DBカラム_物理名]]),"_",""),InputValueObjects[[#This Row],[ValueObject_修正]])</f>
        <v>PageName</v>
      </c>
      <c r="U22" s="5" t="str">
        <f>IF(InputValueObjects[[#This Row],[型_ベース]]="","",InputValueObjects[[#This Row],[型_ベース]]&amp;IF(InputValueObjects[[#This Row],[NotNull]]=1,"","?"))</f>
        <v>string</v>
      </c>
    </row>
    <row r="23" spans="2:21">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PageMstEntity</v>
      </c>
      <c r="L23" s="8" t="s">
        <v>179</v>
      </c>
      <c r="M23" s="8" t="s">
        <v>180</v>
      </c>
      <c r="N23" s="8"/>
      <c r="O23" s="8"/>
      <c r="P23" s="8" t="s">
        <v>92</v>
      </c>
      <c r="Q23" s="5" t="str">
        <f>SUBSTITUTE(PROPER(InputValueObjects[[#This Row],[DBカラム_物理名]]),"_","")</f>
        <v>MovieLink</v>
      </c>
      <c r="R23" s="8"/>
      <c r="S23" s="5" t="str">
        <f>InputValueObjects[[#This Row],[ValueObject_ベース]]</f>
        <v>MovieLink</v>
      </c>
      <c r="T23" s="5" t="str">
        <f>IF(InputValueObjects[[#This Row],[ValueObject_修正]]="",SUBSTITUTE(PROPER(InputValueObjects[[#This Row],[DBカラム_物理名]]),"_",""),InputValueObjects[[#This Row],[ValueObject_修正]])</f>
        <v>MovieLink</v>
      </c>
      <c r="U23" s="5" t="str">
        <f>IF(InputValueObjects[[#This Row],[型_ベース]]="","",InputValueObjects[[#This Row],[型_ベース]]&amp;IF(InputValueObjects[[#This Row],[NotNull]]=1,"","?"))</f>
        <v>string?</v>
      </c>
    </row>
    <row r="24" spans="2:21">
      <c r="B24" s="36">
        <f>ROW(InputEntities[[#This Row],[ENo]])-10</f>
        <v>14</v>
      </c>
      <c r="C24" s="9"/>
      <c r="D24" s="9"/>
      <c r="E24" s="37"/>
      <c r="F24" s="7" t="str">
        <f t="shared" si="2"/>
        <v/>
      </c>
      <c r="I24" s="16">
        <f>ROW(InputValueObjects[[#This Row],[VONo]])-10</f>
        <v>14</v>
      </c>
      <c r="J24" s="8">
        <v>4</v>
      </c>
      <c r="K24" s="16" t="str">
        <f>_xlfn.XLOOKUP(InputValueObjects[[#This Row],[EntityNo]],InputEntities[ENo],InputEntities[Entity],"",0,1)</f>
        <v>PageMstEntity</v>
      </c>
      <c r="L24" s="9" t="s">
        <v>181</v>
      </c>
      <c r="M24" s="9" t="s">
        <v>182</v>
      </c>
      <c r="N24" s="9"/>
      <c r="O24" s="9"/>
      <c r="P24" s="8" t="s">
        <v>92</v>
      </c>
      <c r="Q24" s="5" t="str">
        <f>SUBSTITUTE(PROPER(InputValueObjects[[#This Row],[DBカラム_物理名]]),"_","")</f>
        <v>ImageLink</v>
      </c>
      <c r="R24" s="8"/>
      <c r="S24" s="5" t="str">
        <f>InputValueObjects[[#This Row],[ValueObject_ベース]]</f>
        <v>ImageLink</v>
      </c>
      <c r="T24" s="5" t="str">
        <f>IF(InputValueObjects[[#This Row],[ValueObject_修正]]="",SUBSTITUTE(PROPER(InputValueObjects[[#This Row],[DBカラム_物理名]]),"_",""),InputValueObjects[[#This Row],[ValueObject_修正]])</f>
        <v>ImageLink</v>
      </c>
      <c r="U24" s="5" t="str">
        <f>IF(InputValueObjects[[#This Row],[型_ベース]]="","",InputValueObjects[[#This Row],[型_ベース]]&amp;IF(InputValueObjects[[#This Row],[NotNull]]=1,"","?"))</f>
        <v>string?</v>
      </c>
    </row>
    <row r="25" spans="2:21">
      <c r="B25" s="36">
        <f>ROW(InputEntities[[#This Row],[ENo]])-10</f>
        <v>15</v>
      </c>
      <c r="C25" s="9"/>
      <c r="D25" s="9"/>
      <c r="E25" s="37"/>
      <c r="F25" s="7" t="str">
        <f t="shared" si="2"/>
        <v/>
      </c>
      <c r="I25" s="5">
        <f>ROW(InputValueObjects[[#This Row],[VONo]])-10</f>
        <v>15</v>
      </c>
      <c r="J25" s="8">
        <v>4</v>
      </c>
      <c r="K25" s="5" t="str">
        <f>_xlfn.XLOOKUP(InputValueObjects[[#This Row],[EntityNo]],InputEntities[ENo],InputEntities[Entity],"",0,1)</f>
        <v>PageMstEntity</v>
      </c>
      <c r="L25" s="8" t="s">
        <v>183</v>
      </c>
      <c r="M25" s="8" t="s">
        <v>184</v>
      </c>
      <c r="N25" s="8"/>
      <c r="O25" s="8"/>
      <c r="P25" s="8" t="s">
        <v>147</v>
      </c>
      <c r="Q25" s="5" t="str">
        <f>SUBSTITUTE(PROPER(InputValueObjects[[#This Row],[DBカラム_物理名]]),"_","")</f>
        <v>ImagePageNo</v>
      </c>
      <c r="R25" s="8"/>
      <c r="S25" s="5" t="str">
        <f>InputValueObjects[[#This Row],[ValueObject_ベース]]</f>
        <v>ImagePageNo</v>
      </c>
      <c r="T25" s="5" t="str">
        <f>IF(InputValueObjects[[#This Row],[ValueObject_修正]]="",SUBSTITUTE(PROPER(InputValueObjects[[#This Row],[DBカラム_物理名]]),"_",""),InputValueObjects[[#This Row],[ValueObject_修正]])</f>
        <v>ImagePageNo</v>
      </c>
      <c r="U25" s="5" t="str">
        <f>IF(InputValueObjects[[#This Row],[型_ベース]]="","",InputValueObjects[[#This Row],[型_ベース]]&amp;IF(InputValueObjects[[#This Row],[NotNull]]=1,"","?"))</f>
        <v>int?</v>
      </c>
    </row>
    <row r="26" spans="2:21">
      <c r="B26" s="36">
        <f>ROW(InputEntities[[#This Row],[ENo]])-10</f>
        <v>16</v>
      </c>
      <c r="C26" s="9"/>
      <c r="D26" s="9"/>
      <c r="E26" s="37"/>
      <c r="F26" s="7" t="str">
        <f t="shared" si="2"/>
        <v/>
      </c>
      <c r="I26" s="16">
        <f>ROW(InputValueObjects[[#This Row],[VONo]])-10</f>
        <v>16</v>
      </c>
      <c r="J26" s="8">
        <v>4</v>
      </c>
      <c r="K26" s="16" t="str">
        <f>_xlfn.XLOOKUP(InputValueObjects[[#This Row],[EntityNo]],InputEntities[ENo],InputEntities[Entity],"",0,1)</f>
        <v>PageMstEntity</v>
      </c>
      <c r="L26" s="9" t="s">
        <v>185</v>
      </c>
      <c r="M26" s="9" t="s">
        <v>186</v>
      </c>
      <c r="N26" s="9"/>
      <c r="O26" s="9">
        <v>1</v>
      </c>
      <c r="P26" s="9" t="s">
        <v>150</v>
      </c>
      <c r="Q26" s="16" t="str">
        <f>SUBSTITUTE(PROPER(InputValueObjects[[#This Row],[DBカラム_物理名]]),"_","")</f>
        <v>SlideWaitingTime</v>
      </c>
      <c r="R26" s="9"/>
      <c r="S26" s="16" t="str">
        <f>InputValueObjects[[#This Row],[ValueObject_ベース]]</f>
        <v>SlideWaitingTime</v>
      </c>
      <c r="T26" s="5" t="str">
        <f>IF(InputValueObjects[[#This Row],[ValueObject_修正]]="",SUBSTITUTE(PROPER(InputValueObjects[[#This Row],[DBカラム_物理名]]),"_",""),InputValueObjects[[#This Row],[ValueObject_修正]])</f>
        <v>SlideWaitingTime</v>
      </c>
      <c r="U26" s="5" t="str">
        <f>IF(InputValueObjects[[#This Row],[型_ベース]]="","",InputValueObjects[[#This Row],[型_ベース]]&amp;IF(InputValueObjects[[#This Row],[NotNull]]=1,"","?"))</f>
        <v>float</v>
      </c>
    </row>
    <row r="27" spans="2:21">
      <c r="B27" s="36">
        <f>ROW(InputEntities[[#This Row],[ENo]])-10</f>
        <v>17</v>
      </c>
      <c r="C27" s="9"/>
      <c r="D27" s="9"/>
      <c r="E27" s="37"/>
      <c r="F27" s="7" t="str">
        <f t="shared" si="2"/>
        <v/>
      </c>
      <c r="I27" s="16">
        <f>ROW(InputValueObjects[[#This Row],[VONo]])-10</f>
        <v>17</v>
      </c>
      <c r="J27" s="8">
        <v>4</v>
      </c>
      <c r="K27" s="16" t="str">
        <f>_xlfn.XLOOKUP(InputValueObjects[[#This Row],[EntityNo]],InputEntities[ENo],InputEntities[Entity],"",0,1)</f>
        <v>PageMstEntity</v>
      </c>
      <c r="L27" s="9" t="s">
        <v>187</v>
      </c>
      <c r="M27" s="9" t="s">
        <v>188</v>
      </c>
      <c r="N27" s="9"/>
      <c r="O27" s="9"/>
      <c r="P27" s="9" t="s">
        <v>92</v>
      </c>
      <c r="Q27" s="16" t="str">
        <f>SUBSTITUTE(PROPER(InputValueObjects[[#This Row],[DBカラム_物理名]]),"_","")</f>
        <v>Note1</v>
      </c>
      <c r="R27" s="9" t="s">
        <v>193</v>
      </c>
      <c r="S27" s="16" t="str">
        <f>InputValueObjects[[#This Row],[ValueObject_ベース]]</f>
        <v>Note1</v>
      </c>
      <c r="T27" s="16" t="str">
        <f>IF(InputValueObjects[[#This Row],[ValueObject_修正]]="",SUBSTITUTE(PROPER(InputValueObjects[[#This Row],[DBカラム_物理名]]),"_",""),InputValueObjects[[#This Row],[ValueObject_修正]])</f>
        <v>Note</v>
      </c>
      <c r="U27" s="16"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4</v>
      </c>
      <c r="K28" s="16" t="str">
        <f>_xlfn.XLOOKUP(InputValueObjects[[#This Row],[EntityNo]],InputEntities[ENo],InputEntities[Entity],"",0,1)</f>
        <v>PageMstEntity</v>
      </c>
      <c r="L28" s="9" t="s">
        <v>189</v>
      </c>
      <c r="M28" s="9" t="s">
        <v>190</v>
      </c>
      <c r="N28" s="9"/>
      <c r="O28" s="9"/>
      <c r="P28" s="9" t="s">
        <v>92</v>
      </c>
      <c r="Q28" s="16" t="str">
        <f>SUBSTITUTE(PROPER(InputValueObjects[[#This Row],[DBカラム_物理名]]),"_","")</f>
        <v>Note2</v>
      </c>
      <c r="R28" s="9" t="s">
        <v>193</v>
      </c>
      <c r="S28" s="16" t="str">
        <f>InputValueObjects[[#This Row],[ValueObject_ベース]]</f>
        <v>Note2</v>
      </c>
      <c r="T28" s="16" t="str">
        <f>IF(InputValueObjects[[#This Row],[ValueObject_修正]]="",SUBSTITUTE(PROPER(InputValueObjects[[#This Row],[DBカラム_物理名]]),"_",""),InputValueObjects[[#This Row],[ValueObject_修正]])</f>
        <v>Note</v>
      </c>
      <c r="U28" s="16" t="str">
        <f>IF(InputValueObjects[[#This Row],[型_ベース]]="","",InputValueObjects[[#This Row],[型_ベース]]&amp;IF(InputValueObjects[[#This Row],[NotNull]]=1,"","?"))</f>
        <v>string?</v>
      </c>
    </row>
    <row r="29" spans="2:21">
      <c r="B29" s="36">
        <f>ROW(InputEntities[[#This Row],[ENo]])-10</f>
        <v>19</v>
      </c>
      <c r="C29" s="9"/>
      <c r="D29" s="9"/>
      <c r="E29" s="37"/>
      <c r="F29" s="7" t="str">
        <f t="shared" si="2"/>
        <v/>
      </c>
      <c r="I29" s="16">
        <f>ROW(InputValueObjects[[#This Row],[VONo]])-10</f>
        <v>19</v>
      </c>
      <c r="J29" s="8">
        <v>4</v>
      </c>
      <c r="K29" s="16" t="str">
        <f>_xlfn.XLOOKUP(InputValueObjects[[#This Row],[EntityNo]],InputEntities[ENo],InputEntities[Entity],"",0,1)</f>
        <v>PageMstEntity</v>
      </c>
      <c r="L29" s="9" t="s">
        <v>191</v>
      </c>
      <c r="M29" s="9" t="s">
        <v>192</v>
      </c>
      <c r="N29" s="9"/>
      <c r="O29" s="9"/>
      <c r="P29" s="9" t="s">
        <v>92</v>
      </c>
      <c r="Q29" s="16" t="str">
        <f>SUBSTITUTE(PROPER(InputValueObjects[[#This Row],[DBカラム_物理名]]),"_","")</f>
        <v>Note3</v>
      </c>
      <c r="R29" s="9" t="s">
        <v>193</v>
      </c>
      <c r="S29" s="16" t="str">
        <f>InputValueObjects[[#This Row],[ValueObject_ベース]]</f>
        <v>Note3</v>
      </c>
      <c r="T29" s="16" t="str">
        <f>IF(InputValueObjects[[#This Row],[ValueObject_修正]]="",SUBSTITUTE(PROPER(InputValueObjects[[#This Row],[DBカラム_物理名]]),"_",""),InputValueObjects[[#This Row],[ValueObject_修正]])</f>
        <v>Note</v>
      </c>
      <c r="U29" s="16" t="str">
        <f>IF(InputValueObjects[[#This Row],[型_ベース]]="","",InputValueObjects[[#This Row],[型_ベース]]&amp;IF(InputValueObjects[[#This Row],[NotNull]]=1,"","?"))</f>
        <v>string?</v>
      </c>
    </row>
    <row r="30" spans="2:21">
      <c r="B30" s="36">
        <f>ROW(InputEntities[[#This Row],[ENo]])-10</f>
        <v>20</v>
      </c>
      <c r="C30" s="9"/>
      <c r="D30" s="9"/>
      <c r="E30" s="37"/>
      <c r="F30" s="7" t="str">
        <f t="shared" si="2"/>
        <v/>
      </c>
      <c r="I30" s="16">
        <f>ROW(InputValueObjects[[#This Row],[VONo]])-10</f>
        <v>20</v>
      </c>
      <c r="J30" s="9"/>
      <c r="K30" s="16" t="str">
        <f>_xlfn.XLOOKUP(InputValueObjects[[#This Row],[EntityNo]],InputEntities[ENo],InputEntities[Entity],"",0,1)</f>
        <v/>
      </c>
      <c r="L30" s="9"/>
      <c r="M30" s="9"/>
      <c r="N30" s="9"/>
      <c r="O30" s="9"/>
      <c r="P30" s="9"/>
      <c r="Q30" s="16" t="str">
        <f>SUBSTITUTE(PROPER(InputValueObjects[[#This Row],[DBカラム_物理名]]),"_","")</f>
        <v/>
      </c>
      <c r="R30" s="9"/>
      <c r="S30" s="16" t="str">
        <f>InputValueObjects[[#This Row],[ValueObject_ベース]]</f>
        <v/>
      </c>
      <c r="T30" s="16" t="str">
        <f>IF(InputValueObjects[[#This Row],[ValueObject_修正]]="",SUBSTITUTE(PROPER(InputValueObjects[[#This Row],[DBカラム_物理名]]),"_",""),InputValueObjects[[#This Row],[ValueObject_修正]])</f>
        <v/>
      </c>
      <c r="U30" s="16" t="str">
        <f>IF(InputValueObjects[[#This Row],[型_ベース]]="","",InputValueObjects[[#This Row],[型_ベース]]&amp;IF(InputValueObjects[[#This Row],[NotNull]]=1,"","?"))</f>
        <v/>
      </c>
    </row>
    <row r="31" spans="2:21">
      <c r="B31" s="36">
        <f>ROW(InputEntities[[#This Row],[ENo]])-10</f>
        <v>21</v>
      </c>
      <c r="C31" s="8"/>
      <c r="D31" s="8"/>
      <c r="E31" s="28"/>
      <c r="F31" s="6" t="str">
        <f t="shared" ref="F31:F62" si="3">IF(D31&lt;&gt;"",MID(SUBSTITUTE(PROPER(D31),"_",""),$D$5,99)&amp;"Entity","")</f>
        <v/>
      </c>
      <c r="I31" s="16">
        <f>ROW(InputValueObjects[[#This Row],[VONo]])-10</f>
        <v>21</v>
      </c>
      <c r="J31" s="8"/>
      <c r="K31" s="5" t="str">
        <f>_xlfn.XLOOKUP(InputValueObjects[[#This Row],[EntityNo]],InputEntities[ENo],InputEntities[Entity],"",0,1)</f>
        <v/>
      </c>
      <c r="L31" s="8"/>
      <c r="M31" s="8"/>
      <c r="N31" s="8"/>
      <c r="O31" s="8"/>
      <c r="P31" s="8"/>
      <c r="Q31" s="5" t="str">
        <f>SUBSTITUTE(PROPER(InputValueObjects[[#This Row],[DBカラム_物理名]]),"_","")</f>
        <v/>
      </c>
      <c r="R31" s="8"/>
      <c r="S31" s="5" t="str">
        <f>InputValueObjects[[#This Row],[ValueObject_ベース]]</f>
        <v/>
      </c>
      <c r="T31" s="5" t="str">
        <f>IF(InputValueObjects[[#This Row],[ValueObject_修正]]="",SUBSTITUTE(PROPER(InputValueObjects[[#This Row],[DBカラム_物理名]]),"_",""),InputValueObjects[[#This Row],[ValueObject_修正]])</f>
        <v/>
      </c>
      <c r="U31" s="5" t="str">
        <f>IF(InputValueObjects[[#This Row],[型_ベース]]="","",InputValueObjects[[#This Row],[型_ベース]]&amp;IF(InputValueObjects[[#This Row],[NotNull]]=1,"","?"))</f>
        <v/>
      </c>
    </row>
    <row r="32" spans="2:21">
      <c r="B32" s="36">
        <f>ROW(InputEntities[[#This Row],[ENo]])-10</f>
        <v>22</v>
      </c>
      <c r="C32" s="8"/>
      <c r="D32" s="8"/>
      <c r="E32" s="28"/>
      <c r="F32" s="6" t="str">
        <f t="shared" si="3"/>
        <v/>
      </c>
      <c r="I32" s="16">
        <f>ROW(InputValueObjects[[#This Row],[VONo]])-10</f>
        <v>22</v>
      </c>
      <c r="J32" s="8"/>
      <c r="K32" s="5" t="str">
        <f>_xlfn.XLOOKUP(InputValueObjects[[#This Row],[EntityNo]],InputEntities[ENo],InputEntities[Entity],"",0,1)</f>
        <v/>
      </c>
      <c r="L32" s="8"/>
      <c r="M32" s="8"/>
      <c r="N32" s="8"/>
      <c r="O32" s="8"/>
      <c r="P32" s="8"/>
      <c r="Q32" s="5" t="str">
        <f>SUBSTITUTE(PROPER(InputValueObjects[[#This Row],[DBカラム_物理名]]),"_","")</f>
        <v/>
      </c>
      <c r="R32" s="8"/>
      <c r="S32" s="5" t="str">
        <f>InputValueObjects[[#This Row],[ValueObject_ベース]]</f>
        <v/>
      </c>
      <c r="T32" s="5" t="str">
        <f>IF(InputValueObjects[[#This Row],[ValueObject_修正]]="",SUBSTITUTE(PROPER(InputValueObjects[[#This Row],[DBカラム_物理名]]),"_",""),InputValueObjects[[#This Row],[ValueObject_修正]])</f>
        <v/>
      </c>
      <c r="U32" s="5" t="str">
        <f>IF(InputValueObjects[[#This Row],[型_ベース]]="","",InputValueObjects[[#This Row],[型_ベース]]&amp;IF(InputValueObjects[[#This Row],[NotNull]]=1,"","?"))</f>
        <v/>
      </c>
    </row>
    <row r="33" spans="2:21">
      <c r="B33" s="36">
        <f>ROW(InputEntities[[#This Row],[ENo]])-10</f>
        <v>23</v>
      </c>
      <c r="C33" s="8"/>
      <c r="D33" s="8"/>
      <c r="E33" s="28"/>
      <c r="F33" s="6" t="str">
        <f t="shared" si="3"/>
        <v/>
      </c>
      <c r="I33" s="16">
        <f>ROW(InputValueObjects[[#This Row],[VONo]])-10</f>
        <v>23</v>
      </c>
      <c r="J33" s="8"/>
      <c r="K33" s="5" t="str">
        <f>_xlfn.XLOOKUP(InputValueObjects[[#This Row],[EntityNo]],InputEntities[ENo],InputEntities[Entity],"",0,1)</f>
        <v/>
      </c>
      <c r="L33" s="8"/>
      <c r="M33" s="8"/>
      <c r="N33" s="8"/>
      <c r="O33" s="8"/>
      <c r="P33" s="8"/>
      <c r="Q33" s="5" t="str">
        <f>SUBSTITUTE(PROPER(InputValueObjects[[#This Row],[DBカラム_物理名]]),"_","")</f>
        <v/>
      </c>
      <c r="R33" s="8"/>
      <c r="S33" s="5" t="str">
        <f>InputValueObjects[[#This Row],[ValueObject_ベース]]</f>
        <v/>
      </c>
      <c r="T33" s="5" t="str">
        <f>IF(InputValueObjects[[#This Row],[ValueObject_修正]]="",SUBSTITUTE(PROPER(InputValueObjects[[#This Row],[DBカラム_物理名]]),"_",""),InputValueObjects[[#This Row],[ValueObject_修正]])</f>
        <v/>
      </c>
      <c r="U33" s="5" t="str">
        <f>IF(InputValueObjects[[#This Row],[型_ベース]]="","",InputValueObjects[[#This Row],[型_ベース]]&amp;IF(InputValueObjects[[#This Row],[NotNull]]=1,"","?"))</f>
        <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c r="K35" s="5" t="str">
        <f>_xlfn.XLOOKUP(InputValueObjects[[#This Row],[EntityNo]],InputEntities[ENo],InputEntities[Entity],"",0,1)</f>
        <v/>
      </c>
      <c r="L35" s="8"/>
      <c r="M35" s="8"/>
      <c r="N35" s="8"/>
      <c r="O35" s="8"/>
      <c r="P35" s="8"/>
      <c r="Q35" s="5" t="str">
        <f>SUBSTITUTE(PROPER(InputValueObjects[[#This Row],[DBカラム_物理名]]),"_","")</f>
        <v/>
      </c>
      <c r="R35" s="8"/>
      <c r="S35" s="5" t="str">
        <f>InputValueObjects[[#This Row],[ValueObject_ベース]]</f>
        <v/>
      </c>
      <c r="T35" s="5" t="str">
        <f>IF(InputValueObjects[[#This Row],[ValueObject_修正]]="",SUBSTITUTE(PROPER(InputValueObjects[[#This Row],[DBカラム_物理名]]),"_",""),InputValueObjects[[#This Row],[ValueObject_修正]])</f>
        <v/>
      </c>
      <c r="U35" s="5" t="str">
        <f>IF(InputValueObjects[[#This Row],[型_ベース]]="","",InputValueObjects[[#This Row],[型_ベース]]&amp;IF(InputValueObjects[[#This Row],[NotNull]]=1,"","?"))</f>
        <v/>
      </c>
    </row>
    <row r="36" spans="2:21">
      <c r="B36" s="36">
        <f>ROW(InputEntities[[#This Row],[ENo]])-10</f>
        <v>26</v>
      </c>
      <c r="C36" s="8"/>
      <c r="D36" s="8"/>
      <c r="E36" s="28"/>
      <c r="F36" s="6" t="str">
        <f t="shared" si="3"/>
        <v/>
      </c>
      <c r="I36" s="16">
        <f>ROW(InputValueObjects[[#This Row],[VONo]])-10</f>
        <v>26</v>
      </c>
      <c r="J36" s="8"/>
      <c r="K36" s="5" t="str">
        <f>_xlfn.XLOOKUP(InputValueObjects[[#This Row],[EntityNo]],InputEntities[ENo],InputEntities[Entity],"",0,1)</f>
        <v/>
      </c>
      <c r="L36" s="8"/>
      <c r="M36" s="8"/>
      <c r="N36" s="8"/>
      <c r="O36" s="8"/>
      <c r="P36" s="8"/>
      <c r="Q36" s="5" t="str">
        <f>SUBSTITUTE(PROPER(InputValueObjects[[#This Row],[DBカラム_物理名]]),"_","")</f>
        <v/>
      </c>
      <c r="R36" s="8"/>
      <c r="S36" s="5" t="str">
        <f>InputValueObjects[[#This Row],[ValueObject_ベース]]</f>
        <v/>
      </c>
      <c r="T36" s="5" t="str">
        <f>IF(InputValueObjects[[#This Row],[ValueObject_修正]]="",SUBSTITUTE(PROPER(InputValueObjects[[#This Row],[DBカラム_物理名]]),"_",""),InputValueObjects[[#This Row],[ValueObject_修正]])</f>
        <v/>
      </c>
      <c r="U36" s="5" t="str">
        <f>IF(InputValueObjects[[#This Row],[型_ベース]]="","",InputValueObjects[[#This Row],[型_ベース]]&amp;IF(InputValueObjects[[#This Row],[NotNull]]=1,"","?"))</f>
        <v/>
      </c>
    </row>
    <row r="37" spans="2:21">
      <c r="B37" s="36">
        <f>ROW(InputEntities[[#This Row],[ENo]])-10</f>
        <v>27</v>
      </c>
      <c r="C37" s="8"/>
      <c r="D37" s="8"/>
      <c r="E37" s="28"/>
      <c r="F37" s="6" t="str">
        <f t="shared" si="3"/>
        <v/>
      </c>
      <c r="I37" s="16">
        <f>ROW(InputValueObjects[[#This Row],[VONo]])-10</f>
        <v>27</v>
      </c>
      <c r="J37" s="8"/>
      <c r="K37" s="5" t="str">
        <f>_xlfn.XLOOKUP(InputValueObjects[[#This Row],[EntityNo]],InputEntities[ENo],InputEntities[Entity],"",0,1)</f>
        <v/>
      </c>
      <c r="L37" s="8"/>
      <c r="M37" s="8"/>
      <c r="N37" s="8"/>
      <c r="O37" s="8"/>
      <c r="P37" s="8"/>
      <c r="Q37" s="5" t="str">
        <f>SUBSTITUTE(PROPER(InputValueObjects[[#This Row],[DBカラム_物理名]]),"_","")</f>
        <v/>
      </c>
      <c r="R37" s="8"/>
      <c r="S37" s="5" t="str">
        <f>InputValueObjects[[#This Row],[ValueObject_ベース]]</f>
        <v/>
      </c>
      <c r="T37" s="5" t="str">
        <f>IF(InputValueObjects[[#This Row],[ValueObject_修正]]="",SUBSTITUTE(PROPER(InputValueObjects[[#This Row],[DBカラム_物理名]]),"_",""),InputValueObjects[[#This Row],[ValueObject_修正]])</f>
        <v/>
      </c>
      <c r="U37" s="5" t="str">
        <f>IF(InputValueObjects[[#This Row],[型_ベース]]="","",InputValueObjects[[#This Row],[型_ベース]]&amp;IF(InputValueObjects[[#This Row],[NotNull]]=1,"","?"))</f>
        <v/>
      </c>
    </row>
    <row r="38" spans="2:21">
      <c r="B38" s="36">
        <f>ROW(InputEntities[[#This Row],[ENo]])-10</f>
        <v>28</v>
      </c>
      <c r="C38" s="8"/>
      <c r="D38" s="8"/>
      <c r="E38" s="28"/>
      <c r="F38" s="6" t="str">
        <f t="shared" si="3"/>
        <v/>
      </c>
      <c r="I38" s="16">
        <f>ROW(InputValueObjects[[#This Row],[VONo]])-10</f>
        <v>28</v>
      </c>
      <c r="J38" s="8"/>
      <c r="K38" s="5" t="str">
        <f>_xlfn.XLOOKUP(InputValueObjects[[#This Row],[EntityNo]],InputEntities[ENo],InputEntities[Entity],"",0,1)</f>
        <v/>
      </c>
      <c r="L38" s="8"/>
      <c r="M38" s="8"/>
      <c r="N38" s="8"/>
      <c r="O38" s="8"/>
      <c r="P38" s="8"/>
      <c r="Q38" s="5" t="str">
        <f>SUBSTITUTE(PROPER(InputValueObjects[[#This Row],[DBカラム_物理名]]),"_","")</f>
        <v/>
      </c>
      <c r="R38" s="8"/>
      <c r="S38" s="5" t="str">
        <f>InputValueObjects[[#This Row],[ValueObject_ベース]]</f>
        <v/>
      </c>
      <c r="T38" s="5" t="str">
        <f>IF(InputValueObjects[[#This Row],[ValueObject_修正]]="",SUBSTITUTE(PROPER(InputValueObjects[[#This Row],[DBカラム_物理名]]),"_",""),InputValueObjects[[#This Row],[ValueObject_修正]])</f>
        <v/>
      </c>
      <c r="U38" s="5" t="str">
        <f>IF(InputValueObjects[[#This Row],[型_ベース]]="","",InputValueObjects[[#This Row],[型_ベース]]&amp;IF(InputValueObjects[[#This Row],[NotNull]]=1,"","?"))</f>
        <v/>
      </c>
    </row>
    <row r="39" spans="2:21">
      <c r="B39" s="36">
        <f>ROW(InputEntities[[#This Row],[ENo]])-10</f>
        <v>29</v>
      </c>
      <c r="C39" s="8"/>
      <c r="D39" s="8"/>
      <c r="E39" s="28"/>
      <c r="F39" s="6" t="str">
        <f t="shared" si="3"/>
        <v/>
      </c>
      <c r="I39" s="16">
        <f>ROW(InputValueObjects[[#This Row],[VONo]])-10</f>
        <v>29</v>
      </c>
      <c r="J39" s="8"/>
      <c r="K39" s="5" t="str">
        <f>_xlfn.XLOOKUP(InputValueObjects[[#This Row],[EntityNo]],InputEntities[ENo],InputEntities[Entity],"",0,1)</f>
        <v/>
      </c>
      <c r="L39" s="8"/>
      <c r="M39" s="8"/>
      <c r="N39" s="8"/>
      <c r="O39" s="8"/>
      <c r="P39" s="8"/>
      <c r="Q39" s="5" t="str">
        <f>SUBSTITUTE(PROPER(InputValueObjects[[#This Row],[DBカラム_物理名]]),"_","")</f>
        <v/>
      </c>
      <c r="R39" s="8"/>
      <c r="S39" s="5" t="str">
        <f>InputValueObjects[[#This Row],[ValueObject_ベース]]</f>
        <v/>
      </c>
      <c r="T39" s="5" t="str">
        <f>IF(InputValueObjects[[#This Row],[ValueObject_修正]]="",SUBSTITUTE(PROPER(InputValueObjects[[#This Row],[DBカラム_物理名]]),"_",""),InputValueObjects[[#This Row],[ValueObject_修正]])</f>
        <v/>
      </c>
      <c r="U39" s="5" t="str">
        <f>IF(InputValueObjects[[#This Row],[型_ベース]]="","",InputValueObjects[[#This Row],[型_ベース]]&amp;IF(InputValueObjects[[#This Row],[NotNull]]=1,"","?"))</f>
        <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5" t="str">
        <f>_xlfn.XLOOKUP(InputValueObjects[[#This Row],[EntityNo]],InputEntities[ENo],InputEntities[Entity],"",0,1)</f>
        <v/>
      </c>
      <c r="L41" s="8"/>
      <c r="M41" s="8"/>
      <c r="N41" s="8"/>
      <c r="O41" s="8"/>
      <c r="P41" s="8"/>
      <c r="Q41" s="5" t="str">
        <f>SUBSTITUTE(PROPER(InputValueObjects[[#This Row],[DBカラム_物理名]]),"_","")</f>
        <v/>
      </c>
      <c r="R41" s="8"/>
      <c r="S41" s="5"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5" t="str">
        <f>_xlfn.XLOOKUP(InputValueObjects[[#This Row],[EntityNo]],InputEntities[ENo],InputEntities[Entity],"",0,1)</f>
        <v/>
      </c>
      <c r="L44" s="8"/>
      <c r="M44" s="8"/>
      <c r="N44" s="8"/>
      <c r="O44" s="8"/>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5" t="str">
        <f>_xlfn.XLOOKUP(InputValueObjects[[#This Row],[EntityNo]],InputEntities[ENo],InputEntities[Entity],"",0,1)</f>
        <v/>
      </c>
      <c r="L46" s="8"/>
      <c r="M46" s="8"/>
      <c r="N46" s="8"/>
      <c r="O46" s="8"/>
      <c r="P46" s="8"/>
      <c r="Q46" s="5" t="str">
        <f>SUBSTITUTE(PROPER(InputValueObjects[[#This Row],[DBカラム_物理名]]),"_","")</f>
        <v/>
      </c>
      <c r="R46" s="8"/>
      <c r="S46" s="5"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5" t="str">
        <f>_xlfn.XLOOKUP(InputValueObjects[[#This Row],[EntityNo]],InputEntities[ENo],InputEntities[Entity],"",0,1)</f>
        <v/>
      </c>
      <c r="L47" s="8"/>
      <c r="M47" s="8"/>
      <c r="N47" s="8"/>
      <c r="O47" s="8"/>
      <c r="P47" s="8"/>
      <c r="Q47" s="5" t="str">
        <f>SUBSTITUTE(PROPER(InputValueObjects[[#This Row],[DBカラム_物理名]]),"_","")</f>
        <v/>
      </c>
      <c r="R47" s="8"/>
      <c r="S47" s="5" t="str">
        <f>InputValueObjects[[#This Row],[ValueObject_ベース]]</f>
        <v/>
      </c>
      <c r="T47" s="5" t="str">
        <f>IF(InputValueObjects[[#This Row],[ValueObject_修正]]="",SUBSTITUTE(PROPER(InputValueObjects[[#This Row],[DBカラム_物理名]]),"_",""),InputValueObjects[[#This Row],[ValueObject_修正]])</f>
        <v/>
      </c>
      <c r="U47" s="5"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5" t="str">
        <f>_xlfn.XLOOKUP(InputValueObjects[[#This Row],[EntityNo]],InputEntities[ENo],InputEntities[Entity],"",0,1)</f>
        <v/>
      </c>
      <c r="L48" s="8"/>
      <c r="M48" s="8"/>
      <c r="N48" s="8"/>
      <c r="O48" s="8"/>
      <c r="P48" s="8"/>
      <c r="Q48" s="5" t="str">
        <f>SUBSTITUTE(PROPER(InputValueObjects[[#This Row],[DBカラム_物理名]]),"_","")</f>
        <v/>
      </c>
      <c r="R48" s="8"/>
      <c r="S48" s="5" t="str">
        <f>InputValueObjects[[#This Row],[ValueObject_ベース]]</f>
        <v/>
      </c>
      <c r="T48" s="5" t="str">
        <f>IF(InputValueObjects[[#This Row],[ValueObject_修正]]="",SUBSTITUTE(PROPER(InputValueObjects[[#This Row],[DBカラム_物理名]]),"_",""),InputValueObjects[[#This Row],[ValueObject_修正]])</f>
        <v/>
      </c>
      <c r="U48" s="5"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5" t="str">
        <f>_xlfn.XLOOKUP(InputValueObjects[[#This Row],[EntityNo]],InputEntities[ENo],InputEntities[Entity],"",0,1)</f>
        <v/>
      </c>
      <c r="L49" s="8"/>
      <c r="M49" s="8"/>
      <c r="N49" s="8"/>
      <c r="O49" s="8"/>
      <c r="P49" s="8"/>
      <c r="Q49" s="5" t="str">
        <f>SUBSTITUTE(PROPER(InputValueObjects[[#This Row],[DBカラム_物理名]]),"_","")</f>
        <v/>
      </c>
      <c r="R49" s="8"/>
      <c r="S49" s="5" t="str">
        <f>InputValueObjects[[#This Row],[ValueObject_ベース]]</f>
        <v/>
      </c>
      <c r="T49" s="5" t="str">
        <f>IF(InputValueObjects[[#This Row],[ValueObject_修正]]="",SUBSTITUTE(PROPER(InputValueObjects[[#This Row],[DBカラム_物理名]]),"_",""),InputValueObjects[[#This Row],[ValueObject_修正]])</f>
        <v/>
      </c>
      <c r="U49" s="5"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zoomScale="70" zoomScaleNormal="70" workbookViewId="0">
      <selection activeCell="B10" sqref="B10"/>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5" width="45.4375" customWidth="1"/>
    <col min="16" max="16" width="71.5" customWidth="1"/>
    <col min="17" max="17" width="56.0625" customWidth="1"/>
  </cols>
  <sheetData>
    <row r="1" spans="1:17">
      <c r="A1" s="24" t="s">
        <v>15</v>
      </c>
      <c r="B1" s="25" t="s">
        <v>7</v>
      </c>
      <c r="C1" s="25" t="s">
        <v>34</v>
      </c>
      <c r="D1" s="25" t="s">
        <v>93</v>
      </c>
      <c r="E1" s="25" t="s">
        <v>35</v>
      </c>
      <c r="F1" s="25" t="s">
        <v>54</v>
      </c>
      <c r="G1" s="25" t="s">
        <v>60</v>
      </c>
      <c r="H1" s="25" t="s">
        <v>66</v>
      </c>
      <c r="I1" s="25" t="s">
        <v>48</v>
      </c>
      <c r="J1" s="25" t="s">
        <v>50</v>
      </c>
      <c r="K1" s="25" t="s">
        <v>65</v>
      </c>
      <c r="L1" s="25" t="s">
        <v>72</v>
      </c>
      <c r="M1" s="25" t="s">
        <v>78</v>
      </c>
      <c r="N1" s="25" t="s">
        <v>74</v>
      </c>
      <c r="O1" s="25" t="s">
        <v>83</v>
      </c>
      <c r="P1" s="25" t="s">
        <v>85</v>
      </c>
      <c r="Q1" s="25" t="s">
        <v>80</v>
      </c>
    </row>
    <row r="2" spans="1:17" ht="359.6" customHeight="1">
      <c r="A2" s="23" t="s">
        <v>155</v>
      </c>
      <c r="B2" s="23" t="s">
        <v>22</v>
      </c>
      <c r="C2" s="23" t="s">
        <v>38</v>
      </c>
      <c r="D2" s="23" t="s">
        <v>105</v>
      </c>
      <c r="E2" s="23" t="s">
        <v>36</v>
      </c>
      <c r="F2" s="23" t="s">
        <v>59</v>
      </c>
      <c r="G2" s="23" t="s">
        <v>61</v>
      </c>
      <c r="H2" s="23" t="s">
        <v>67</v>
      </c>
      <c r="I2" s="23" t="s">
        <v>51</v>
      </c>
      <c r="J2" s="23" t="s">
        <v>52</v>
      </c>
      <c r="K2" s="23" t="s">
        <v>70</v>
      </c>
      <c r="L2" s="23" t="s">
        <v>129</v>
      </c>
      <c r="M2" s="23" t="s">
        <v>153</v>
      </c>
      <c r="N2" s="23" t="s">
        <v>91</v>
      </c>
      <c r="O2" s="23" t="s">
        <v>84</v>
      </c>
      <c r="P2" s="23" t="s">
        <v>87</v>
      </c>
      <c r="Q2" s="23" t="s">
        <v>88</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95</v>
      </c>
      <c r="C1" t="s">
        <v>40</v>
      </c>
    </row>
    <row r="2" spans="1:3">
      <c r="A2" t="s">
        <v>12</v>
      </c>
      <c r="B2" t="s">
        <v>96</v>
      </c>
      <c r="C2" t="s">
        <v>41</v>
      </c>
    </row>
    <row r="3" spans="1:3">
      <c r="A3" t="s">
        <v>13</v>
      </c>
      <c r="B3" t="s">
        <v>97</v>
      </c>
      <c r="C3" t="s">
        <v>42</v>
      </c>
    </row>
    <row r="4" spans="1:3">
      <c r="A4" t="s">
        <v>14</v>
      </c>
      <c r="B4" t="s">
        <v>98</v>
      </c>
      <c r="C4" t="s">
        <v>43</v>
      </c>
    </row>
    <row r="5" spans="1:3">
      <c r="A5" t="s">
        <v>44</v>
      </c>
      <c r="B5" t="s">
        <v>99</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election activeCell="C4" sqref="C4"/>
    </sheetView>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170</v>
      </c>
    </row>
    <row r="3" spans="1:6">
      <c r="B3" s="2" t="s">
        <v>157</v>
      </c>
      <c r="C3" s="3" t="s">
        <v>194</v>
      </c>
    </row>
    <row r="6" spans="1:6">
      <c r="B6" t="s">
        <v>158</v>
      </c>
      <c r="C6" t="s">
        <v>167</v>
      </c>
      <c r="D6" t="s">
        <v>168</v>
      </c>
      <c r="E6" t="s">
        <v>159</v>
      </c>
      <c r="F6" t="s">
        <v>160</v>
      </c>
    </row>
    <row r="7" spans="1:6" ht="20.05" customHeight="1">
      <c r="B7" s="48" t="s">
        <v>161</v>
      </c>
      <c r="C7" s="48" t="s">
        <v>15</v>
      </c>
      <c r="D7" s="48" t="s">
        <v>15</v>
      </c>
      <c r="E7" s="48" t="str">
        <f>ValueObject[[#Headers],[ValueObject]]</f>
        <v>ValueObject</v>
      </c>
      <c r="F7" s="48" t="str">
        <f>ValueObject[[#Headers],[ValueObjectコード]]</f>
        <v>ValueObjectコード</v>
      </c>
    </row>
    <row r="8" spans="1:6" ht="20.05" customHeight="1">
      <c r="B8" s="48" t="s">
        <v>162</v>
      </c>
      <c r="C8" s="48" t="s">
        <v>7</v>
      </c>
      <c r="D8" s="48" t="s">
        <v>7</v>
      </c>
      <c r="E8" s="48" t="str">
        <f>Entity[[#Headers],[Entity]]</f>
        <v>Entity</v>
      </c>
      <c r="F8" s="48" t="str">
        <f>Entity[[#Headers],[Entity(get)コード]]</f>
        <v>Entity(get)コード</v>
      </c>
    </row>
    <row r="9" spans="1:6" ht="20.05" customHeight="1">
      <c r="B9" s="48" t="s">
        <v>163</v>
      </c>
      <c r="C9" s="48" t="s">
        <v>169</v>
      </c>
      <c r="D9" s="48" t="s">
        <v>169</v>
      </c>
      <c r="E9" s="48" t="str">
        <f>IRepository[[#Headers],[IRepository]]</f>
        <v>IRepository</v>
      </c>
      <c r="F9" s="48" t="str">
        <f>IRepository[[#Headers],[IRepositoryコード]]</f>
        <v>IRepositoryコード</v>
      </c>
    </row>
    <row r="10" spans="1:6" ht="20.05" customHeight="1">
      <c r="B10" s="48" t="s">
        <v>164</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165</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8"/>
  <sheetViews>
    <sheetView workbookViewId="0">
      <selection activeCell="C9" sqref="C9"/>
    </sheetView>
  </sheetViews>
  <sheetFormatPr defaultRowHeight="15.45"/>
  <cols>
    <col min="2" max="2" width="10.5625" bestFit="1" customWidth="1"/>
    <col min="3" max="3" width="59.4375" bestFit="1" customWidth="1"/>
  </cols>
  <sheetData>
    <row r="1" spans="1:3">
      <c r="A1" t="s">
        <v>106</v>
      </c>
      <c r="B1" t="s">
        <v>108</v>
      </c>
      <c r="C1" t="s">
        <v>107</v>
      </c>
    </row>
    <row r="2" spans="1:3">
      <c r="A2" t="s">
        <v>109</v>
      </c>
      <c r="B2" s="42">
        <v>44925</v>
      </c>
      <c r="C2" t="s">
        <v>110</v>
      </c>
    </row>
    <row r="3" spans="1:3">
      <c r="A3" t="s">
        <v>119</v>
      </c>
      <c r="B3" s="42">
        <v>44934</v>
      </c>
      <c r="C3" t="s">
        <v>120</v>
      </c>
    </row>
    <row r="4" spans="1:3">
      <c r="A4" t="s">
        <v>134</v>
      </c>
      <c r="B4" s="42">
        <v>44934</v>
      </c>
      <c r="C4" t="s">
        <v>135</v>
      </c>
    </row>
    <row r="5" spans="1:3">
      <c r="A5" t="s">
        <v>151</v>
      </c>
      <c r="B5" s="42">
        <v>44940</v>
      </c>
      <c r="C5" t="s">
        <v>152</v>
      </c>
    </row>
    <row r="6" spans="1:3" ht="30.9">
      <c r="A6" t="s">
        <v>156</v>
      </c>
      <c r="B6" s="42">
        <v>44952</v>
      </c>
      <c r="C6" s="47" t="s">
        <v>166</v>
      </c>
    </row>
    <row r="7" spans="1:3">
      <c r="A7" t="s">
        <v>171</v>
      </c>
      <c r="B7" s="42">
        <v>44954</v>
      </c>
      <c r="C7" t="s">
        <v>172</v>
      </c>
    </row>
    <row r="8" spans="1:3">
      <c r="A8" t="s">
        <v>195</v>
      </c>
      <c r="B8" s="42">
        <v>44955</v>
      </c>
      <c r="C8" t="s">
        <v>196</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100</v>
      </c>
      <c r="Q3" s="11" t="s">
        <v>101</v>
      </c>
      <c r="R3" s="11" t="s">
        <v>48</v>
      </c>
      <c r="S3" s="11" t="s">
        <v>49</v>
      </c>
      <c r="T3" s="11" t="s">
        <v>46</v>
      </c>
      <c r="U3" s="11" t="s">
        <v>63</v>
      </c>
      <c r="V3" s="17" t="s">
        <v>65</v>
      </c>
      <c r="W3" s="17" t="s">
        <v>82</v>
      </c>
      <c r="X3" s="17" t="s">
        <v>86</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_entity.SampleCode.Value;</v>
      </c>
      <c r="X4" s="19" t="str" cm="1">
        <f t="array" ref="X4">SUBSTITUTE(SUBSTITUTE(Templates[ViewModelEntity_Property_getset],"__Type__",ValueObject[[#This Row],[型]]),"__EntityProperty__",ValueObject[[#This Row],[Entity_プロパティ]])</f>
        <v xml:space="preserve">       public string SampleCode 
        {
            get { return _entity.SampleCode.Value; }
            set { _entity.SampleCode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_entity.SampleName.Value;</v>
      </c>
      <c r="X5" s="19" t="str" cm="1">
        <f t="array" ref="X5">SUBSTITUTE(SUBSTITUTE(Templates[ViewModelEntity_Property_getset],"__Type__",ValueObject[[#This Row],[型]]),"__EntityProperty__",ValueObject[[#This Row],[Entity_プロパティ]])</f>
        <v xml:space="preserve">       public string SampleName 
        {
            get { return _entity.SampleName.Value; }
            set { _entity.SampleName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_entity..Value;</v>
      </c>
      <c r="X6" s="19" t="str" cm="1">
        <f t="array" ref="X6">SUBSTITUTE(SUBSTITUTE(Templates[ViewModelEntity_Property_getset],"__Type__",ValueObject[[#This Row],[型]]),"__EntityProperty__",ValueObject[[#This Row],[Entity_プロパティ]])</f>
        <v xml:space="preserve">       public   
        {
            get { return _entity..Value; }
            set { _entity.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WorkerMstEntity</v>
      </c>
      <c r="D7" s="21" t="str">
        <f>_xlfn.XLOOKUP(ValueObject[[#This Row],[VONo]],InputValueObjects[VONo],InputValueObjects[ValueObject],"",0,1)</f>
        <v>WorkerCode</v>
      </c>
      <c r="E7" s="21" t="str">
        <f>_xlfn.XLOOKUP(ValueObject[[#This Row],[VONo]],InputValueObjects[VONo],InputValueObjects[DBカラム_物理名],"",0,1)</f>
        <v>worker_code</v>
      </c>
      <c r="F7" s="19" t="str">
        <f>"@"&amp;ValueObject[[#This Row],[DBテーブル_物理名]]</f>
        <v>@worker_code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WorkerCode</v>
      </c>
      <c r="K7" s="21" t="str">
        <f>REPLACE(ValueObject[[#This Row],[Entity_プロパティ]],1,1,LOWER(LEFT(ValueObject[[#This Row],[ValueObject]])))</f>
        <v>workerCode</v>
      </c>
      <c r="L7" s="21" t="str">
        <f>ValueObject[[#This Row],[型]]&amp;" "&amp;ValueObject[[#This Row],[変数_VO]]</f>
        <v>string workerCode</v>
      </c>
      <c r="M7" s="21" t="str">
        <f>ValueObject[[#This Row],[Entity_プロパティ]]&amp;" = new "&amp;ValueObject[[#This Row],[ValueObject]]&amp;"("&amp;ValueObject[[#This Row],[変数_VO]]&amp;");"</f>
        <v>WorkerCode = new WorkerCode(workerCode);</v>
      </c>
      <c r="N7" s="21" t="str">
        <f>"public "&amp;ValueObject[[#This Row],[ValueObject]]&amp;" "&amp;ValueObject[[#This Row],[Entity_プロパティ]]&amp;" { get; }"</f>
        <v>public WorkerCode WorkerCode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worker_code TEXT</v>
      </c>
      <c r="R7" s="19" t="str" cm="1">
        <f t="array" ref="R7">SUBSTITUTE(SUBSTITUTE(Templates[Repository_Entity_Args_NotNull],"__Convert__",ValueObject[[#This Row],[Convert]]),"__TableColumn__",ValueObject[[#This Row],[DBテーブル_物理名]])</f>
        <v>Convert.ToString(reader["worker_code"])</v>
      </c>
      <c r="S7" s="19" t="str" cm="1">
        <f t="array" ref="S7">SUBSTITUTE(SUBSTITUTE(Templates[Repository_Entity_Args_Null],"__Convert__",ValueObject[[#This Row],[Convert]]),"__TableColumn__",ValueObject[[#This Row],[DBテーブル_物理名]])</f>
        <v>reader["worker_code"] != DBNull.Value ? Convert.ToString(reader["worker_code"]) : null</v>
      </c>
      <c r="T7" s="19" t="str">
        <f>IF(ValueObject[[#This Row],[NotNull]]=1,ValueObject[[#This Row],[Repository_Entity_Args_NotNull]],ValueObject[[#This Row],[Repository_Entity_Args_Null]])</f>
        <v>Convert.ToString(reader["worker_code"])</v>
      </c>
      <c r="U7" s="19" t="str">
        <f>ValueObject[[#This Row],[DBテーブル_物理名]]&amp;" = @"&amp;ValueObject[[#This Row],[DBテーブル_物理名]]</f>
        <v>worker_code = @worker_code</v>
      </c>
      <c r="V7" s="19" t="str" cm="1">
        <f t="array" ref="V7">SUBSTITUTE(SUBSTITUTE(Templates[SQLiteParameter_Args],"__Column__",ValueObject[[#This Row],[DBテーブル_物理名]]),"__VO__",ValueObject[[#This Row],[Entity_プロパティ]])</f>
        <v>new SQLiteParameter("@worker_code", entity.WorkerCode.Value)</v>
      </c>
      <c r="W7" s="19" t="str" cm="1">
        <f t="array" ref="W7">SUBSTITUTE(SUBSTITUTE(Templates[ViewModelEntity_Property_get],"__Type__",ValueObject[[#This Row],[型]]),"__EntityProperty__",ValueObject[[#This Row],[Entity_プロパティ]])</f>
        <v xml:space="preserve">        public string WorkerCode =&gt; _entity.WorkerCode.Value;</v>
      </c>
      <c r="X7" s="19" t="str" cm="1">
        <f t="array" ref="X7">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WorkerMstEntity</v>
      </c>
      <c r="D8" s="21" t="str">
        <f>_xlfn.XLOOKUP(ValueObject[[#This Row],[VONo]],InputValueObjects[VONo],InputValueObjects[ValueObject],"",0,1)</f>
        <v>WorkerName</v>
      </c>
      <c r="E8" s="21" t="str">
        <f>_xlfn.XLOOKUP(ValueObject[[#This Row],[VONo]],InputValueObjects[VONo],InputValueObjects[DBカラム_物理名],"",0,1)</f>
        <v>worker_name</v>
      </c>
      <c r="F8" s="19" t="str">
        <f>"@"&amp;ValueObject[[#This Row],[DBテーブル_物理名]]</f>
        <v>@worker_name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WorkerName</v>
      </c>
      <c r="K8" s="21" t="str">
        <f>REPLACE(ValueObject[[#This Row],[Entity_プロパティ]],1,1,LOWER(LEFT(ValueObject[[#This Row],[ValueObject]])))</f>
        <v>workerName</v>
      </c>
      <c r="L8" s="21" t="str">
        <f>ValueObject[[#This Row],[型]]&amp;" "&amp;ValueObject[[#This Row],[変数_VO]]</f>
        <v>string workerName</v>
      </c>
      <c r="M8" s="21" t="str">
        <f>ValueObject[[#This Row],[Entity_プロパティ]]&amp;" = new "&amp;ValueObject[[#This Row],[ValueObject]]&amp;"("&amp;ValueObject[[#This Row],[変数_VO]]&amp;");"</f>
        <v>WorkerName = new WorkerName(workerName);</v>
      </c>
      <c r="N8" s="21" t="str">
        <f>"public "&amp;ValueObject[[#This Row],[ValueObject]]&amp;" "&amp;ValueObject[[#This Row],[Entity_プロパティ]]&amp;" { get; }"</f>
        <v>public WorkerName WorkerName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worker_name TEXT</v>
      </c>
      <c r="R8" s="19" t="str" cm="1">
        <f t="array" ref="R8">SUBSTITUTE(SUBSTITUTE(Templates[Repository_Entity_Args_NotNull],"__Convert__",ValueObject[[#This Row],[Convert]]),"__TableColumn__",ValueObject[[#This Row],[DBテーブル_物理名]])</f>
        <v>Convert.ToString(reader["worker_name"])</v>
      </c>
      <c r="S8" s="19" t="str" cm="1">
        <f t="array" ref="S8">SUBSTITUTE(SUBSTITUTE(Templates[Repository_Entity_Args_Null],"__Convert__",ValueObject[[#This Row],[Convert]]),"__TableColumn__",ValueObject[[#This Row],[DBテーブル_物理名]])</f>
        <v>reader["worker_name"] != DBNull.Value ? Convert.ToString(reader["worker_name"]) : null</v>
      </c>
      <c r="T8" s="19" t="str">
        <f>IF(ValueObject[[#This Row],[NotNull]]=1,ValueObject[[#This Row],[Repository_Entity_Args_NotNull]],ValueObject[[#This Row],[Repository_Entity_Args_Null]])</f>
        <v>Convert.ToString(reader["worker_name"])</v>
      </c>
      <c r="U8" s="19" t="str">
        <f>ValueObject[[#This Row],[DBテーブル_物理名]]&amp;" = @"&amp;ValueObject[[#This Row],[DBテーブル_物理名]]</f>
        <v>worker_name = @worker_name</v>
      </c>
      <c r="V8" s="19" t="str" cm="1">
        <f t="array" ref="V8">SUBSTITUTE(SUBSTITUTE(Templates[SQLiteParameter_Args],"__Column__",ValueObject[[#This Row],[DBテーブル_物理名]]),"__VO__",ValueObject[[#This Row],[Entity_プロパティ]])</f>
        <v>new SQLiteParameter("@worker_name", entity.WorkerName.Value)</v>
      </c>
      <c r="W8" s="19" t="str" cm="1">
        <f t="array" ref="W8">SUBSTITUTE(SUBSTITUTE(Templates[ViewModelEntity_Property_get],"__Type__",ValueObject[[#This Row],[型]]),"__EntityProperty__",ValueObject[[#This Row],[Entity_プロパティ]])</f>
        <v xml:space="preserve">        public string WorkerName =&gt; _entity.WorkerName.Value;</v>
      </c>
      <c r="X8" s="19" t="str" cm="1">
        <f t="array" ref="X8">SUBSTITUTE(SUBSTITUTE(Templates[ViewModelEntity_Property_getset],"__Type__",ValueObject[[#This Row],[型]]),"__EntityProperty__",ValueObject[[#This Row],[Entity_プロパティ]])</f>
        <v xml:space="preserve">       public string WorkerName 
        {
            get { return _entity.WorkerName.Value; }
            set { _entity.WorkerName = new WorkerName(value);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_entity..Value;</v>
      </c>
      <c r="X9" s="19" t="str" cm="1">
        <f t="array" ref="X9">SUBSTITUTE(SUBSTITUTE(Templates[ViewModelEntity_Property_getset],"__Type__",ValueObject[[#This Row],[型]]),"__EntityProperty__",ValueObject[[#This Row],[Entity_プロパティ]])</f>
        <v xml:space="preserve">       public   
        {
            get { return _entity..Value; }
            set { _entity.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WorkingTimePlanMstEntity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_entity.WorkerCode.Value;</v>
      </c>
      <c r="X10" s="19" t="str" cm="1">
        <f t="array" ref="X10">SUBSTITUTE(SUBSTITUTE(Templates[ViewModelEntity_Property_getset],"__Type__",ValueObject[[#This Row],[型]]),"__EntityProperty__",ValueObject[[#This Row],[Entity_プロパティ]])</f>
        <v xml:space="preserve">       public string WorkerCode 
        {
            get { return _entity.WorkerCode.Value; }
            set { _entity.WorkerCode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WorkingTimePlanMstEntity</v>
      </c>
      <c r="D11" s="21" t="str">
        <f>_xlfn.XLOOKUP(ValueObject[[#This Row],[VONo]],InputValueObjects[VONo],InputValueObjects[ValueObject],"",0,1)</f>
        <v>Weekday</v>
      </c>
      <c r="E11" s="21" t="str">
        <f>_xlfn.XLOOKUP(ValueObject[[#This Row],[VONo]],InputValueObjects[VONo],InputValueObjects[DBカラム_物理名],"",0,1)</f>
        <v>weekday</v>
      </c>
      <c r="F11" s="19" t="str">
        <f>"@"&amp;ValueObject[[#This Row],[DBテーブル_物理名]]</f>
        <v>@weekday</v>
      </c>
      <c r="G11" s="21">
        <f>_xlfn.XLOOKUP(ValueObject[[#This Row],[VONo]],InputValueObjects[VONo],InputValueObjects[PK],"",0,1)</f>
        <v>2</v>
      </c>
      <c r="H11" s="21">
        <f>_xlfn.XLOOKUP(ValueObject[[#This Row],[VONo]],InputValueObjects[VONo],InputValueObjects[NotNull],"",0,1)</f>
        <v>1</v>
      </c>
      <c r="I11" s="21" t="str">
        <f>_xlfn.XLOOKUP(ValueObject[[#This Row],[VONo]],InputValueObjects[VONo],InputValueObjects[型],"",0,1)</f>
        <v>int</v>
      </c>
      <c r="J11" s="21" t="str">
        <f>_xlfn.XLOOKUP(ValueObject[[#This Row],[VONo]],InputValueObjects[VONo],InputValueObjects[Entity_プロパティ],"",0,1)</f>
        <v>Weekday</v>
      </c>
      <c r="K11" s="21" t="str">
        <f>REPLACE(ValueObject[[#This Row],[Entity_プロパティ]],1,1,LOWER(LEFT(ValueObject[[#This Row],[ValueObject]])))</f>
        <v>weekday</v>
      </c>
      <c r="L11" s="21" t="str">
        <f>ValueObject[[#This Row],[型]]&amp;" "&amp;ValueObject[[#This Row],[変数_VO]]</f>
        <v>int weekday</v>
      </c>
      <c r="M11" s="21" t="str">
        <f>ValueObject[[#This Row],[Entity_プロパティ]]&amp;" = new "&amp;ValueObject[[#This Row],[ValueObject]]&amp;"("&amp;ValueObject[[#This Row],[変数_VO]]&amp;");"</f>
        <v>Weekday = new Weekday(weekday);</v>
      </c>
      <c r="N11" s="21" t="str">
        <f>"public "&amp;ValueObject[[#This Row],[ValueObject]]&amp;" "&amp;ValueObject[[#This Row],[Entity_プロパティ]]&amp;" { get; }"</f>
        <v>public Weekday Weekday { get; }</v>
      </c>
      <c r="O11" s="21" t="str">
        <f>_xlfn.XLOOKUP(SUBSTITUTE(ValueObject[[#This Row],[型]],"?",""),Types[型],Types[Convert],"",,1)</f>
        <v>Convert.ToInt32</v>
      </c>
      <c r="P11" s="21" t="str">
        <f>_xlfn.XLOOKUP(SUBSTITUTE(ValueObject[[#This Row],[型]],"?",""),Types[型],Types[型_SQLite],"",0,1)</f>
        <v>INTEGER</v>
      </c>
      <c r="Q11" s="21" t="str">
        <f>IF(ValueObject[[#This Row],[SQLite_型]]="","",ValueObject[[#This Row],[DBテーブル_物理名]]&amp;" "&amp;ValueObject[[#This Row],[SQLite_型]])</f>
        <v>weekday INTEGER</v>
      </c>
      <c r="R11" s="19" t="str" cm="1">
        <f t="array" ref="R11">SUBSTITUTE(SUBSTITUTE(Templates[Repository_Entity_Args_NotNull],"__Convert__",ValueObject[[#This Row],[Convert]]),"__TableColumn__",ValueObject[[#This Row],[DBテーブル_物理名]])</f>
        <v>Convert.ToInt32(reader["weekday"])</v>
      </c>
      <c r="S11" s="19" t="str" cm="1">
        <f t="array" ref="S11">SUBSTITUTE(SUBSTITUTE(Templates[Repository_Entity_Args_Null],"__Convert__",ValueObject[[#This Row],[Convert]]),"__TableColumn__",ValueObject[[#This Row],[DBテーブル_物理名]])</f>
        <v>reader["weekday"] != DBNull.Value ? Convert.ToInt32(reader["weekday"]) : null</v>
      </c>
      <c r="T11" s="19" t="str">
        <f>IF(ValueObject[[#This Row],[NotNull]]=1,ValueObject[[#This Row],[Repository_Entity_Args_NotNull]],ValueObject[[#This Row],[Repository_Entity_Args_Null]])</f>
        <v>Convert.ToInt32(reader["weekday"])</v>
      </c>
      <c r="U11" s="19" t="str">
        <f>ValueObject[[#This Row],[DBテーブル_物理名]]&amp;" = @"&amp;ValueObject[[#This Row],[DBテーブル_物理名]]</f>
        <v>weekday = @weekday</v>
      </c>
      <c r="V11" s="19" t="str" cm="1">
        <f t="array" ref="V11">SUBSTITUTE(SUBSTITUTE(Templates[SQLiteParameter_Args],"__Column__",ValueObject[[#This Row],[DBテーブル_物理名]]),"__VO__",ValueObject[[#This Row],[Entity_プロパティ]])</f>
        <v>new SQLiteParameter("@weekday", entity.Weekday.Value)</v>
      </c>
      <c r="W11" s="19" t="str" cm="1">
        <f t="array" ref="W11">SUBSTITUTE(SUBSTITUTE(Templates[ViewModelEntity_Property_get],"__Type__",ValueObject[[#This Row],[型]]),"__EntityProperty__",ValueObject[[#This Row],[Entity_プロパティ]])</f>
        <v xml:space="preserve">        public int Weekday =&gt; _entity.Weekday.Value;</v>
      </c>
      <c r="X11" s="19" t="str" cm="1">
        <f t="array" ref="X11">SUBSTITUTE(SUBSTITUTE(Templates[ViewModelEntity_Property_getset],"__Type__",ValueObject[[#This Row],[型]]),"__EntityProperty__",ValueObject[[#This Row],[Entity_プロパティ]])</f>
        <v xml:space="preserve">       public int Weekday 
        {
            get { return _entity.Weekday.Value; }
            set { _entity.Weekday = new Weekday(value);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WorkingTimePlanMstEntity</v>
      </c>
      <c r="D12" s="21" t="str">
        <f>_xlfn.XLOOKUP(ValueObject[[#This Row],[VONo]],InputValueObjects[VONo],InputValueObjects[ValueObject],"",0,1)</f>
        <v>WorkingTime</v>
      </c>
      <c r="E12" s="21" t="str">
        <f>_xlfn.XLOOKUP(ValueObject[[#This Row],[VONo]],InputValueObjects[VONo],InputValueObjects[DBカラム_物理名],"",0,1)</f>
        <v>working_time</v>
      </c>
      <c r="F12" s="19" t="str">
        <f>"@"&amp;ValueObject[[#This Row],[DBテーブル_物理名]]</f>
        <v>@working_time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float?</v>
      </c>
      <c r="J12" s="21" t="str">
        <f>_xlfn.XLOOKUP(ValueObject[[#This Row],[VONo]],InputValueObjects[VONo],InputValueObjects[Entity_プロパティ],"",0,1)</f>
        <v>WorkingTime</v>
      </c>
      <c r="K12" s="21" t="str">
        <f>REPLACE(ValueObject[[#This Row],[Entity_プロパティ]],1,1,LOWER(LEFT(ValueObject[[#This Row],[ValueObject]])))</f>
        <v>workingTime</v>
      </c>
      <c r="L12" s="21" t="str">
        <f>ValueObject[[#This Row],[型]]&amp;" "&amp;ValueObject[[#This Row],[変数_VO]]</f>
        <v>float? workingTime</v>
      </c>
      <c r="M12" s="21" t="str">
        <f>ValueObject[[#This Row],[Entity_プロパティ]]&amp;" = new "&amp;ValueObject[[#This Row],[ValueObject]]&amp;"("&amp;ValueObject[[#This Row],[変数_VO]]&amp;");"</f>
        <v>WorkingTime = new WorkingTime(workingTime);</v>
      </c>
      <c r="N12" s="21" t="str">
        <f>"public "&amp;ValueObject[[#This Row],[ValueObject]]&amp;" "&amp;ValueObject[[#This Row],[Entity_プロパティ]]&amp;" { get; }"</f>
        <v>public WorkingTime WorkingTime { get; }</v>
      </c>
      <c r="O12" s="21" t="str">
        <f>_xlfn.XLOOKUP(SUBSTITUTE(ValueObject[[#This Row],[型]],"?",""),Types[型],Types[Convert],"",,1)</f>
        <v>Convert.ToSingle</v>
      </c>
      <c r="P12" s="21" t="str">
        <f>_xlfn.XLOOKUP(SUBSTITUTE(ValueObject[[#This Row],[型]],"?",""),Types[型],Types[型_SQLite],"",0,1)</f>
        <v>REAL</v>
      </c>
      <c r="Q12" s="21" t="str">
        <f>IF(ValueObject[[#This Row],[SQLite_型]]="","",ValueObject[[#This Row],[DBテーブル_物理名]]&amp;" "&amp;ValueObject[[#This Row],[SQLite_型]])</f>
        <v>working_time REAL</v>
      </c>
      <c r="R12" s="19" t="str" cm="1">
        <f t="array" ref="R12">SUBSTITUTE(SUBSTITUTE(Templates[Repository_Entity_Args_NotNull],"__Convert__",ValueObject[[#This Row],[Convert]]),"__TableColumn__",ValueObject[[#This Row],[DBテーブル_物理名]])</f>
        <v>Convert.ToSingle(reader["working_time"])</v>
      </c>
      <c r="S12" s="19" t="str" cm="1">
        <f t="array" ref="S12">SUBSTITUTE(SUBSTITUTE(Templates[Repository_Entity_Args_Null],"__Convert__",ValueObject[[#This Row],[Convert]]),"__TableColumn__",ValueObject[[#This Row],[DBテーブル_物理名]])</f>
        <v>reader["working_time"] != DBNull.Value ? Convert.ToSingle(reader["working_time"]) : null</v>
      </c>
      <c r="T12" s="19" t="str">
        <f>IF(ValueObject[[#This Row],[NotNull]]=1,ValueObject[[#This Row],[Repository_Entity_Args_NotNull]],ValueObject[[#This Row],[Repository_Entity_Args_Null]])</f>
        <v>reader["working_time"] != DBNull.Value ? Convert.ToSingle(reader["working_time"]) : null</v>
      </c>
      <c r="U12" s="19" t="str">
        <f>ValueObject[[#This Row],[DBテーブル_物理名]]&amp;" = @"&amp;ValueObject[[#This Row],[DBテーブル_物理名]]</f>
        <v>working_time = @working_time</v>
      </c>
      <c r="V12" s="19" t="str" cm="1">
        <f t="array" ref="V12">SUBSTITUTE(SUBSTITUTE(Templates[SQLiteParameter_Args],"__Column__",ValueObject[[#This Row],[DBテーブル_物理名]]),"__VO__",ValueObject[[#This Row],[Entity_プロパティ]])</f>
        <v>new SQLiteParameter("@working_time", entity.WorkingTime.Value)</v>
      </c>
      <c r="W12" s="19" t="str" cm="1">
        <f t="array" ref="W12">SUBSTITUTE(SUBSTITUTE(Templates[ViewModelEntity_Property_get],"__Type__",ValueObject[[#This Row],[型]]),"__EntityProperty__",ValueObject[[#This Row],[Entity_プロパティ]])</f>
        <v xml:space="preserve">        public float? WorkingTime =&gt; _entity.WorkingTime.Value;</v>
      </c>
      <c r="X12" s="19" t="str" cm="1">
        <f t="array" ref="X12">SUBSTITUTE(SUBSTITUTE(Templates[ViewModelEntity_Property_getset],"__Type__",ValueObject[[#This Row],[型]]),"__EntityProperty__",ValueObject[[#This Row],[Entity_プロパティ]])</f>
        <v xml:space="preserve">       public float? WorkingTime 
        {
            get { return _entity.WorkingTime.Value; }
            set { _entity.WorkingTime = new WorkingTime(value);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3" spans="1:25" ht="20.05" customHeight="1">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_entity..Value;</v>
      </c>
      <c r="X13" s="19" t="str" cm="1">
        <f t="array" ref="X13">SUBSTITUTE(SUBSTITUTE(Templates[ViewModelEntity_Property_getset],"__Type__",ValueObject[[#This Row],[型]]),"__EntityProperty__",ValueObject[[#This Row],[Entity_プロパティ]])</f>
        <v xml:space="preserve">       public   
        {
            get { return _entity..Value; }
            set { _entity.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c r="B14" s="20">
        <f>ROW(ValueObject[[#This Row],[VONo]])-3</f>
        <v>11</v>
      </c>
      <c r="C14" s="21" t="str">
        <f>_xlfn.XLOOKUP(ValueObject[[#This Row],[VONo]],InputValueObjects[VONo],InputValueObjects[Entity],"",0,1)</f>
        <v>PageMstEntity</v>
      </c>
      <c r="D14" s="21" t="str">
        <f>_xlfn.XLOOKUP(ValueObject[[#This Row],[VONo]],InputValueObjects[VONo],InputValueObjects[ValueObject],"",0,1)</f>
        <v>PageId</v>
      </c>
      <c r="E14" s="21" t="str">
        <f>_xlfn.XLOOKUP(ValueObject[[#This Row],[VONo]],InputValueObjects[VONo],InputValueObjects[DBカラム_物理名],"",0,1)</f>
        <v>page_id</v>
      </c>
      <c r="F14" s="19" t="str">
        <f>"@"&amp;ValueObject[[#This Row],[DBテーブル_物理名]]</f>
        <v>@page_id</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int</v>
      </c>
      <c r="J14" s="21" t="str">
        <f>_xlfn.XLOOKUP(ValueObject[[#This Row],[VONo]],InputValueObjects[VONo],InputValueObjects[Entity_プロパティ],"",0,1)</f>
        <v>PageId</v>
      </c>
      <c r="K14" s="21" t="str">
        <f>REPLACE(ValueObject[[#This Row],[Entity_プロパティ]],1,1,LOWER(LEFT(ValueObject[[#This Row],[ValueObject]])))</f>
        <v>pageId</v>
      </c>
      <c r="L14" s="21" t="str">
        <f>ValueObject[[#This Row],[型]]&amp;" "&amp;ValueObject[[#This Row],[変数_VO]]</f>
        <v>int pageId</v>
      </c>
      <c r="M14" s="21" t="str">
        <f>ValueObject[[#This Row],[Entity_プロパティ]]&amp;" = new "&amp;ValueObject[[#This Row],[ValueObject]]&amp;"("&amp;ValueObject[[#This Row],[変数_VO]]&amp;");"</f>
        <v>PageId = new PageId(pageId);</v>
      </c>
      <c r="N14" s="21" t="str">
        <f>"public "&amp;ValueObject[[#This Row],[ValueObject]]&amp;" "&amp;ValueObject[[#This Row],[Entity_プロパティ]]&amp;" { get; }"</f>
        <v>public PageId PageId { get; }</v>
      </c>
      <c r="O14" s="21" t="str">
        <f>_xlfn.XLOOKUP(SUBSTITUTE(ValueObject[[#This Row],[型]],"?",""),Types[型],Types[Convert],"",,1)</f>
        <v>Convert.ToInt32</v>
      </c>
      <c r="P14" s="21" t="str">
        <f>_xlfn.XLOOKUP(SUBSTITUTE(ValueObject[[#This Row],[型]],"?",""),Types[型],Types[型_SQLite],"",0,1)</f>
        <v>INTEGER</v>
      </c>
      <c r="Q14" s="21" t="str">
        <f>IF(ValueObject[[#This Row],[SQLite_型]]="","",ValueObject[[#This Row],[DBテーブル_物理名]]&amp;" "&amp;ValueObject[[#This Row],[SQLite_型]])</f>
        <v>page_id INTEGER</v>
      </c>
      <c r="R14" s="19" t="str" cm="1">
        <f t="array" ref="R14">SUBSTITUTE(SUBSTITUTE(Templates[Repository_Entity_Args_NotNull],"__Convert__",ValueObject[[#This Row],[Convert]]),"__TableColumn__",ValueObject[[#This Row],[DBテーブル_物理名]])</f>
        <v>Convert.ToInt32(reader["page_id"])</v>
      </c>
      <c r="S14" s="19" t="str" cm="1">
        <f t="array" ref="S14">SUBSTITUTE(SUBSTITUTE(Templates[Repository_Entity_Args_Null],"__Convert__",ValueObject[[#This Row],[Convert]]),"__TableColumn__",ValueObject[[#This Row],[DBテーブル_物理名]])</f>
        <v>reader["page_id"] != DBNull.Value ? Convert.ToInt32(reader["page_id"]) : null</v>
      </c>
      <c r="T14" s="19" t="str">
        <f>IF(ValueObject[[#This Row],[NotNull]]=1,ValueObject[[#This Row],[Repository_Entity_Args_NotNull]],ValueObject[[#This Row],[Repository_Entity_Args_Null]])</f>
        <v>Convert.ToInt32(reader["page_id"])</v>
      </c>
      <c r="U14" s="19" t="str">
        <f>ValueObject[[#This Row],[DBテーブル_物理名]]&amp;" = @"&amp;ValueObject[[#This Row],[DBテーブル_物理名]]</f>
        <v>page_id = @page_id</v>
      </c>
      <c r="V14" s="19" t="str" cm="1">
        <f t="array" ref="V14">SUBSTITUTE(SUBSTITUTE(Templates[SQLiteParameter_Args],"__Column__",ValueObject[[#This Row],[DBテーブル_物理名]]),"__VO__",ValueObject[[#This Row],[Entity_プロパティ]])</f>
        <v>new SQLiteParameter("@page_id", entity.PageId.Value)</v>
      </c>
      <c r="W14" s="19" t="str" cm="1">
        <f t="array" ref="W14">SUBSTITUTE(SUBSTITUTE(Templates[ViewModelEntity_Property_get],"__Type__",ValueObject[[#This Row],[型]]),"__EntityProperty__",ValueObject[[#This Row],[Entity_プロパティ]])</f>
        <v xml:space="preserve">        public int PageId =&gt; _entity.PageId.Value;</v>
      </c>
      <c r="X14" s="19" t="str" cm="1">
        <f t="array" ref="X14">SUBSTITUTE(SUBSTITUTE(Templates[ViewModelEntity_Property_getset],"__Type__",ValueObject[[#This Row],[型]]),"__EntityProperty__",ValueObject[[#This Row],[Entity_プロパティ]])</f>
        <v xml:space="preserve">       public int PageId 
        {
            get { return _entity.PageId.Value; }
            set { _entity.PageId = new PageId(value);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PageMstEntity</v>
      </c>
      <c r="D15" s="21" t="str">
        <f>_xlfn.XLOOKUP(ValueObject[[#This Row],[VONo]],InputValueObjects[VONo],InputValueObjects[ValueObject],"",0,1)</f>
        <v>PageName</v>
      </c>
      <c r="E15" s="21" t="str">
        <f>_xlfn.XLOOKUP(ValueObject[[#This Row],[VONo]],InputValueObjects[VONo],InputValueObjects[DBカラム_物理名],"",0,1)</f>
        <v>page_name</v>
      </c>
      <c r="F15" s="19" t="str">
        <f>"@"&amp;ValueObject[[#This Row],[DBテーブル_物理名]]</f>
        <v>@page_name</v>
      </c>
      <c r="G15" s="21">
        <f>_xlfn.XLOOKUP(ValueObject[[#This Row],[VONo]],InputValueObjects[VONo],InputValueObjects[PK],"",0,1)</f>
        <v>0</v>
      </c>
      <c r="H15" s="21">
        <f>_xlfn.XLOOKUP(ValueObject[[#This Row],[VONo]],InputValueObjects[VONo],InputValueObjects[NotNull],"",0,1)</f>
        <v>1</v>
      </c>
      <c r="I15" s="21" t="str">
        <f>_xlfn.XLOOKUP(ValueObject[[#This Row],[VONo]],InputValueObjects[VONo],InputValueObjects[型],"",0,1)</f>
        <v>string</v>
      </c>
      <c r="J15" s="21" t="str">
        <f>_xlfn.XLOOKUP(ValueObject[[#This Row],[VONo]],InputValueObjects[VONo],InputValueObjects[Entity_プロパティ],"",0,1)</f>
        <v>PageName</v>
      </c>
      <c r="K15" s="21" t="str">
        <f>REPLACE(ValueObject[[#This Row],[Entity_プロパティ]],1,1,LOWER(LEFT(ValueObject[[#This Row],[ValueObject]])))</f>
        <v>pageName</v>
      </c>
      <c r="L15" s="21" t="str">
        <f>ValueObject[[#This Row],[型]]&amp;" "&amp;ValueObject[[#This Row],[変数_VO]]</f>
        <v>string pageName</v>
      </c>
      <c r="M15" s="21" t="str">
        <f>ValueObject[[#This Row],[Entity_プロパティ]]&amp;" = new "&amp;ValueObject[[#This Row],[ValueObject]]&amp;"("&amp;ValueObject[[#This Row],[変数_VO]]&amp;");"</f>
        <v>PageName = new PageName(pageName);</v>
      </c>
      <c r="N15" s="21" t="str">
        <f>"public "&amp;ValueObject[[#This Row],[ValueObject]]&amp;" "&amp;ValueObject[[#This Row],[Entity_プロパティ]]&amp;" { get; }"</f>
        <v>public PageName PageName { get; }</v>
      </c>
      <c r="O15" s="21" t="str">
        <f>_xlfn.XLOOKUP(SUBSTITUTE(ValueObject[[#This Row],[型]],"?",""),Types[型],Types[Convert],"",,1)</f>
        <v>Convert.ToString</v>
      </c>
      <c r="P15" s="21" t="str">
        <f>_xlfn.XLOOKUP(SUBSTITUTE(ValueObject[[#This Row],[型]],"?",""),Types[型],Types[型_SQLite],"",0,1)</f>
        <v>TEXT</v>
      </c>
      <c r="Q15" s="21" t="str">
        <f>IF(ValueObject[[#This Row],[SQLite_型]]="","",ValueObject[[#This Row],[DBテーブル_物理名]]&amp;" "&amp;ValueObject[[#This Row],[SQLite_型]])</f>
        <v>page_name TEXT</v>
      </c>
      <c r="R15" s="19" t="str" cm="1">
        <f t="array" ref="R15">SUBSTITUTE(SUBSTITUTE(Templates[Repository_Entity_Args_NotNull],"__Convert__",ValueObject[[#This Row],[Convert]]),"__TableColumn__",ValueObject[[#This Row],[DBテーブル_物理名]])</f>
        <v>Convert.ToString(reader["page_name"])</v>
      </c>
      <c r="S15" s="19" t="str" cm="1">
        <f t="array" ref="S15">SUBSTITUTE(SUBSTITUTE(Templates[Repository_Entity_Args_Null],"__Convert__",ValueObject[[#This Row],[Convert]]),"__TableColumn__",ValueObject[[#This Row],[DBテーブル_物理名]])</f>
        <v>reader["page_name"] != DBNull.Value ? Convert.ToString(reader["page_name"]) : null</v>
      </c>
      <c r="T15" s="19" t="str">
        <f>IF(ValueObject[[#This Row],[NotNull]]=1,ValueObject[[#This Row],[Repository_Entity_Args_NotNull]],ValueObject[[#This Row],[Repository_Entity_Args_Null]])</f>
        <v>Convert.ToString(reader["page_name"])</v>
      </c>
      <c r="U15" s="19" t="str">
        <f>ValueObject[[#This Row],[DBテーブル_物理名]]&amp;" = @"&amp;ValueObject[[#This Row],[DBテーブル_物理名]]</f>
        <v>page_name = @page_name</v>
      </c>
      <c r="V15" s="19" t="str" cm="1">
        <f t="array" ref="V15">SUBSTITUTE(SUBSTITUTE(Templates[SQLiteParameter_Args],"__Column__",ValueObject[[#This Row],[DBテーブル_物理名]]),"__VO__",ValueObject[[#This Row],[Entity_プロパティ]])</f>
        <v>new SQLiteParameter("@page_name", entity.PageName.Value)</v>
      </c>
      <c r="W15" s="19" t="str" cm="1">
        <f t="array" ref="W15">SUBSTITUTE(SUBSTITUTE(Templates[ViewModelEntity_Property_get],"__Type__",ValueObject[[#This Row],[型]]),"__EntityProperty__",ValueObject[[#This Row],[Entity_プロパティ]])</f>
        <v xml:space="preserve">        public string PageName =&gt; _entity.PageName.Value;</v>
      </c>
      <c r="X15" s="19" t="str" cm="1">
        <f t="array" ref="X15">SUBSTITUTE(SUBSTITUTE(Templates[ViewModelEntity_Property_getset],"__Type__",ValueObject[[#This Row],[型]]),"__EntityProperty__",ValueObject[[#This Row],[Entity_プロパティ]])</f>
        <v xml:space="preserve">       public string PageName 
        {
            get { return _entity.PageName.Value; }
            set { _entity.PageName = new PageName(value);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PageMstEntity</v>
      </c>
      <c r="D16" s="21" t="str">
        <f>_xlfn.XLOOKUP(ValueObject[[#This Row],[VONo]],InputValueObjects[VONo],InputValueObjects[ValueObject],"",0,1)</f>
        <v>MovieLink</v>
      </c>
      <c r="E16" s="21" t="str">
        <f>_xlfn.XLOOKUP(ValueObject[[#This Row],[VONo]],InputValueObjects[VONo],InputValueObjects[DBカラム_物理名],"",0,1)</f>
        <v>movie_link</v>
      </c>
      <c r="F16" s="19" t="str">
        <f>"@"&amp;ValueObject[[#This Row],[DBテーブル_物理名]]</f>
        <v>@movie_link</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string?</v>
      </c>
      <c r="J16" s="21" t="str">
        <f>_xlfn.XLOOKUP(ValueObject[[#This Row],[VONo]],InputValueObjects[VONo],InputValueObjects[Entity_プロパティ],"",0,1)</f>
        <v>MovieLink</v>
      </c>
      <c r="K16" s="21" t="str">
        <f>REPLACE(ValueObject[[#This Row],[Entity_プロパティ]],1,1,LOWER(LEFT(ValueObject[[#This Row],[ValueObject]])))</f>
        <v>movieLink</v>
      </c>
      <c r="L16" s="21" t="str">
        <f>ValueObject[[#This Row],[型]]&amp;" "&amp;ValueObject[[#This Row],[変数_VO]]</f>
        <v>string? movieLink</v>
      </c>
      <c r="M16" s="21" t="str">
        <f>ValueObject[[#This Row],[Entity_プロパティ]]&amp;" = new "&amp;ValueObject[[#This Row],[ValueObject]]&amp;"("&amp;ValueObject[[#This Row],[変数_VO]]&amp;");"</f>
        <v>MovieLink = new MovieLink(movieLink);</v>
      </c>
      <c r="N16" s="21" t="str">
        <f>"public "&amp;ValueObject[[#This Row],[ValueObject]]&amp;" "&amp;ValueObject[[#This Row],[Entity_プロパティ]]&amp;" { get; }"</f>
        <v>public MovieLink MovieLink { get; }</v>
      </c>
      <c r="O16" s="21" t="str">
        <f>_xlfn.XLOOKUP(SUBSTITUTE(ValueObject[[#This Row],[型]],"?",""),Types[型],Types[Convert],"",,1)</f>
        <v>Convert.ToString</v>
      </c>
      <c r="P16" s="21" t="str">
        <f>_xlfn.XLOOKUP(SUBSTITUTE(ValueObject[[#This Row],[型]],"?",""),Types[型],Types[型_SQLite],"",0,1)</f>
        <v>TEXT</v>
      </c>
      <c r="Q16" s="21" t="str">
        <f>IF(ValueObject[[#This Row],[SQLite_型]]="","",ValueObject[[#This Row],[DBテーブル_物理名]]&amp;" "&amp;ValueObject[[#This Row],[SQLite_型]])</f>
        <v>movie_link TEXT</v>
      </c>
      <c r="R16" s="19" t="str" cm="1">
        <f t="array" ref="R16">SUBSTITUTE(SUBSTITUTE(Templates[Repository_Entity_Args_NotNull],"__Convert__",ValueObject[[#This Row],[Convert]]),"__TableColumn__",ValueObject[[#This Row],[DBテーブル_物理名]])</f>
        <v>Convert.ToString(reader["movie_link"])</v>
      </c>
      <c r="S16" s="19" t="str" cm="1">
        <f t="array" ref="S16">SUBSTITUTE(SUBSTITUTE(Templates[Repository_Entity_Args_Null],"__Convert__",ValueObject[[#This Row],[Convert]]),"__TableColumn__",ValueObject[[#This Row],[DBテーブル_物理名]])</f>
        <v>reader["movie_link"] != DBNull.Value ? Convert.ToString(reader["movie_link"]) : null</v>
      </c>
      <c r="T16" s="19" t="str">
        <f>IF(ValueObject[[#This Row],[NotNull]]=1,ValueObject[[#This Row],[Repository_Entity_Args_NotNull]],ValueObject[[#This Row],[Repository_Entity_Args_Null]])</f>
        <v>reader["movie_link"] != DBNull.Value ? Convert.ToString(reader["movie_link"]) : null</v>
      </c>
      <c r="U16" s="19" t="str">
        <f>ValueObject[[#This Row],[DBテーブル_物理名]]&amp;" = @"&amp;ValueObject[[#This Row],[DBテーブル_物理名]]</f>
        <v>movie_link = @movie_link</v>
      </c>
      <c r="V16" s="19" t="str" cm="1">
        <f t="array" ref="V16">SUBSTITUTE(SUBSTITUTE(Templates[SQLiteParameter_Args],"__Column__",ValueObject[[#This Row],[DBテーブル_物理名]]),"__VO__",ValueObject[[#This Row],[Entity_プロパティ]])</f>
        <v>new SQLiteParameter("@movie_link", entity.MovieLink.Value)</v>
      </c>
      <c r="W16" s="19" t="str" cm="1">
        <f t="array" ref="W16">SUBSTITUTE(SUBSTITUTE(Templates[ViewModelEntity_Property_get],"__Type__",ValueObject[[#This Row],[型]]),"__EntityProperty__",ValueObject[[#This Row],[Entity_プロパティ]])</f>
        <v xml:space="preserve">        public string? MovieLink =&gt; _entity.MovieLink.Value;</v>
      </c>
      <c r="X16" s="19" t="str" cm="1">
        <f t="array" ref="X16">SUBSTITUTE(SUBSTITUTE(Templates[ViewModelEntity_Property_getset],"__Type__",ValueObject[[#This Row],[型]]),"__EntityProperty__",ValueObject[[#This Row],[Entity_プロパティ]])</f>
        <v xml:space="preserve">       public string? MovieLink 
        {
            get { return _entity.MovieLink.Value; }
            set { _entity.MovieLink = new MovieLink(value);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17" spans="2:25" ht="20.05" customHeight="1">
      <c r="B17" s="20">
        <f>ROW(ValueObject[[#This Row],[VONo]])-3</f>
        <v>14</v>
      </c>
      <c r="C17" s="21" t="str">
        <f>_xlfn.XLOOKUP(ValueObject[[#This Row],[VONo]],InputValueObjects[VONo],InputValueObjects[Entity],"",0,1)</f>
        <v>PageMstEntity</v>
      </c>
      <c r="D17" s="21" t="str">
        <f>_xlfn.XLOOKUP(ValueObject[[#This Row],[VONo]],InputValueObjects[VONo],InputValueObjects[ValueObject],"",0,1)</f>
        <v>ImageLink</v>
      </c>
      <c r="E17" s="21" t="str">
        <f>_xlfn.XLOOKUP(ValueObject[[#This Row],[VONo]],InputValueObjects[VONo],InputValueObjects[DBカラム_物理名],"",0,1)</f>
        <v>image_link</v>
      </c>
      <c r="F17" s="19" t="str">
        <f>"@"&amp;ValueObject[[#This Row],[DBテーブル_物理名]]</f>
        <v>@image_link</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string?</v>
      </c>
      <c r="J17" s="21" t="str">
        <f>_xlfn.XLOOKUP(ValueObject[[#This Row],[VONo]],InputValueObjects[VONo],InputValueObjects[Entity_プロパティ],"",0,1)</f>
        <v>ImageLink</v>
      </c>
      <c r="K17" s="21" t="str">
        <f>REPLACE(ValueObject[[#This Row],[Entity_プロパティ]],1,1,LOWER(LEFT(ValueObject[[#This Row],[ValueObject]])))</f>
        <v>imageLink</v>
      </c>
      <c r="L17" s="21" t="str">
        <f>ValueObject[[#This Row],[型]]&amp;" "&amp;ValueObject[[#This Row],[変数_VO]]</f>
        <v>string? imageLink</v>
      </c>
      <c r="M17" s="21" t="str">
        <f>ValueObject[[#This Row],[Entity_プロパティ]]&amp;" = new "&amp;ValueObject[[#This Row],[ValueObject]]&amp;"("&amp;ValueObject[[#This Row],[変数_VO]]&amp;");"</f>
        <v>ImageLink = new ImageLink(imageLink);</v>
      </c>
      <c r="N17" s="21" t="str">
        <f>"public "&amp;ValueObject[[#This Row],[ValueObject]]&amp;" "&amp;ValueObject[[#This Row],[Entity_プロパティ]]&amp;" { get; }"</f>
        <v>public ImageLink ImageLink { get; }</v>
      </c>
      <c r="O17" s="21" t="str">
        <f>_xlfn.XLOOKUP(SUBSTITUTE(ValueObject[[#This Row],[型]],"?",""),Types[型],Types[Convert],"",,1)</f>
        <v>Convert.ToString</v>
      </c>
      <c r="P17" s="21" t="str">
        <f>_xlfn.XLOOKUP(SUBSTITUTE(ValueObject[[#This Row],[型]],"?",""),Types[型],Types[型_SQLite],"",0,1)</f>
        <v>TEXT</v>
      </c>
      <c r="Q17" s="21" t="str">
        <f>IF(ValueObject[[#This Row],[SQLite_型]]="","",ValueObject[[#This Row],[DBテーブル_物理名]]&amp;" "&amp;ValueObject[[#This Row],[SQLite_型]])</f>
        <v>image_link TEXT</v>
      </c>
      <c r="R17" s="19" t="str" cm="1">
        <f t="array" ref="R17">SUBSTITUTE(SUBSTITUTE(Templates[Repository_Entity_Args_NotNull],"__Convert__",ValueObject[[#This Row],[Convert]]),"__TableColumn__",ValueObject[[#This Row],[DBテーブル_物理名]])</f>
        <v>Convert.ToString(reader["image_link"])</v>
      </c>
      <c r="S17" s="19" t="str" cm="1">
        <f t="array" ref="S17">SUBSTITUTE(SUBSTITUTE(Templates[Repository_Entity_Args_Null],"__Convert__",ValueObject[[#This Row],[Convert]]),"__TableColumn__",ValueObject[[#This Row],[DBテーブル_物理名]])</f>
        <v>reader["image_link"] != DBNull.Value ? Convert.ToString(reader["image_link"]) : null</v>
      </c>
      <c r="T17" s="19" t="str">
        <f>IF(ValueObject[[#This Row],[NotNull]]=1,ValueObject[[#This Row],[Repository_Entity_Args_NotNull]],ValueObject[[#This Row],[Repository_Entity_Args_Null]])</f>
        <v>reader["image_link"] != DBNull.Value ? Convert.ToString(reader["image_link"]) : null</v>
      </c>
      <c r="U17" s="19" t="str">
        <f>ValueObject[[#This Row],[DBテーブル_物理名]]&amp;" = @"&amp;ValueObject[[#This Row],[DBテーブル_物理名]]</f>
        <v>image_link = @image_link</v>
      </c>
      <c r="V17" s="19" t="str" cm="1">
        <f t="array" ref="V17">SUBSTITUTE(SUBSTITUTE(Templates[SQLiteParameter_Args],"__Column__",ValueObject[[#This Row],[DBテーブル_物理名]]),"__VO__",ValueObject[[#This Row],[Entity_プロパティ]])</f>
        <v>new SQLiteParameter("@image_link", entity.ImageLink.Value)</v>
      </c>
      <c r="W17" s="19" t="str" cm="1">
        <f t="array" ref="W17">SUBSTITUTE(SUBSTITUTE(Templates[ViewModelEntity_Property_get],"__Type__",ValueObject[[#This Row],[型]]),"__EntityProperty__",ValueObject[[#This Row],[Entity_プロパティ]])</f>
        <v xml:space="preserve">        public string? ImageLink =&gt; _entity.ImageLink.Value;</v>
      </c>
      <c r="X17" s="19" t="str" cm="1">
        <f t="array" ref="X17">SUBSTITUTE(SUBSTITUTE(Templates[ViewModelEntity_Property_getset],"__Type__",ValueObject[[#This Row],[型]]),"__EntityProperty__",ValueObject[[#This Row],[Entity_プロパティ]])</f>
        <v xml:space="preserve">       public string? ImageLink 
        {
            get { return _entity.ImageLink.Value; }
            set { _entity.ImageLink = new ImageLink(value); }
        }</v>
      </c>
      <c r="Y17" s="19" t="str" cm="1">
        <f t="array" ref="Y17">IF(ValueObject[[#This Row],[ValueObject]]="","",SUBSTITUTE(SUBSTITUTE(SUBSTITUTE(Templates[ValueObject],"__SN__",'1_インプット'!$D$3),"__VO__",ValueObject[[#This Row],[ValueObject]]),"__VOType__",ValueObject[[#This Row],[型]]))</f>
        <v>namespace Template2.Domain.ValueObjects
{
    public sealed class ImageLink : ValueObject&lt;ImageLink&gt;
    {
        /// &lt;summary&gt;
        /// コンストラクタ
        /// &lt;/summary&gt;
        /// &lt;param name=""value""&gt;&lt;/param&gt;
        public ImageLink(string? value)
        {
            Value = value;
        }
        public string? Value { get; }
        protected override bool EqualsCore(ImageLink other)
        {
            return Value == other.Value;
        }
        protected override int GetHashCodeCore()
        {
            if (Value == null)
            {
                return 0;
            }
            return Value.GetHashCode();
        }
        public override string ToString()
        {
            if (Value == null)
            {
                return String.Empty;
            }
            return Value.ToString();
        }
    }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ImagePageNo</v>
      </c>
      <c r="E18" s="21" t="str">
        <f>_xlfn.XLOOKUP(ValueObject[[#This Row],[VONo]],InputValueObjects[VONo],InputValueObjects[DBカラム_物理名],"",0,1)</f>
        <v>image_page_no</v>
      </c>
      <c r="F18" s="19" t="str">
        <f>"@"&amp;ValueObject[[#This Row],[DBテーブル_物理名]]</f>
        <v>@image_page_no</v>
      </c>
      <c r="G18" s="21">
        <f>_xlfn.XLOOKUP(ValueObject[[#This Row],[VONo]],InputValueObjects[VONo],InputValueObjects[PK],"",0,1)</f>
        <v>0</v>
      </c>
      <c r="H18" s="21">
        <f>_xlfn.XLOOKUP(ValueObject[[#This Row],[VONo]],InputValueObjects[VONo],InputValueObjects[NotNull],"",0,1)</f>
        <v>0</v>
      </c>
      <c r="I18" s="21" t="str">
        <f>_xlfn.XLOOKUP(ValueObject[[#This Row],[VONo]],InputValueObjects[VONo],InputValueObjects[型],"",0,1)</f>
        <v>int?</v>
      </c>
      <c r="J18" s="21" t="str">
        <f>_xlfn.XLOOKUP(ValueObject[[#This Row],[VONo]],InputValueObjects[VONo],InputValueObjects[Entity_プロパティ],"",0,1)</f>
        <v>ImagePageNo</v>
      </c>
      <c r="K18" s="21" t="str">
        <f>REPLACE(ValueObject[[#This Row],[Entity_プロパティ]],1,1,LOWER(LEFT(ValueObject[[#This Row],[ValueObject]])))</f>
        <v>imagePageNo</v>
      </c>
      <c r="L18" s="21" t="str">
        <f>ValueObject[[#This Row],[型]]&amp;" "&amp;ValueObject[[#This Row],[変数_VO]]</f>
        <v>int? imagePageNo</v>
      </c>
      <c r="M18" s="21" t="str">
        <f>ValueObject[[#This Row],[Entity_プロパティ]]&amp;" = new "&amp;ValueObject[[#This Row],[ValueObject]]&amp;"("&amp;ValueObject[[#This Row],[変数_VO]]&amp;");"</f>
        <v>ImagePageNo = new ImagePageNo(imagePageNo);</v>
      </c>
      <c r="N18" s="21" t="str">
        <f>"public "&amp;ValueObject[[#This Row],[ValueObject]]&amp;" "&amp;ValueObject[[#This Row],[Entity_プロパティ]]&amp;" { get; }"</f>
        <v>public ImagePageNo ImagePageNo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image_page_no INTEGER</v>
      </c>
      <c r="R18" s="19" t="str" cm="1">
        <f t="array" ref="R18">SUBSTITUTE(SUBSTITUTE(Templates[Repository_Entity_Args_NotNull],"__Convert__",ValueObject[[#This Row],[Convert]]),"__TableColumn__",ValueObject[[#This Row],[DBテーブル_物理名]])</f>
        <v>Convert.ToInt32(reader["image_page_no"])</v>
      </c>
      <c r="S18" s="19" t="str" cm="1">
        <f t="array" ref="S18">SUBSTITUTE(SUBSTITUTE(Templates[Repository_Entity_Args_Null],"__Convert__",ValueObject[[#This Row],[Convert]]),"__TableColumn__",ValueObject[[#This Row],[DBテーブル_物理名]])</f>
        <v>reader["image_page_no"] != DBNull.Value ? Convert.ToInt32(reader["image_page_no"]) : null</v>
      </c>
      <c r="T18" s="19" t="str">
        <f>IF(ValueObject[[#This Row],[NotNull]]=1,ValueObject[[#This Row],[Repository_Entity_Args_NotNull]],ValueObject[[#This Row],[Repository_Entity_Args_Null]])</f>
        <v>reader["image_page_no"] != DBNull.Value ? Convert.ToInt32(reader["image_page_no"]) : null</v>
      </c>
      <c r="U18" s="19" t="str">
        <f>ValueObject[[#This Row],[DBテーブル_物理名]]&amp;" = @"&amp;ValueObject[[#This Row],[DBテーブル_物理名]]</f>
        <v>image_page_no = @image_page_no</v>
      </c>
      <c r="V18" s="19" t="str" cm="1">
        <f t="array" ref="V18">SUBSTITUTE(SUBSTITUTE(Templates[SQLiteParameter_Args],"__Column__",ValueObject[[#This Row],[DBテーブル_物理名]]),"__VO__",ValueObject[[#This Row],[Entity_プロパティ]])</f>
        <v>new SQLiteParameter("@image_page_no", entity.ImagePageNo.Value)</v>
      </c>
      <c r="W18" s="19" t="str" cm="1">
        <f t="array" ref="W18">SUBSTITUTE(SUBSTITUTE(Templates[ViewModelEntity_Property_get],"__Type__",ValueObject[[#This Row],[型]]),"__EntityProperty__",ValueObject[[#This Row],[Entity_プロパティ]])</f>
        <v xml:space="preserve">        public int? ImagePageNo =&gt; _entity.ImagePageNo.Value;</v>
      </c>
      <c r="X18" s="19" t="str" cm="1">
        <f t="array" ref="X18">SUBSTITUTE(SUBSTITUTE(Templates[ViewModelEntity_Property_getset],"__Type__",ValueObject[[#This Row],[型]]),"__EntityProperty__",ValueObject[[#This Row],[Entity_プロパティ]])</f>
        <v xml:space="preserve">       public int? ImagePageNo 
        {
            get { return _entity.ImagePageNo.Value; }
            set { _entity.ImagePageNo = new ImagePageNo(value);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SlideWaitingTime</v>
      </c>
      <c r="E19" s="21" t="str">
        <f>_xlfn.XLOOKUP(ValueObject[[#This Row],[VONo]],InputValueObjects[VONo],InputValueObjects[DBカラム_物理名],"",0,1)</f>
        <v>slide_waiting_time</v>
      </c>
      <c r="F19" s="19" t="str">
        <f>"@"&amp;ValueObject[[#This Row],[DBテーブル_物理名]]</f>
        <v>@slide_waiting_time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float</v>
      </c>
      <c r="J19" s="21" t="str">
        <f>_xlfn.XLOOKUP(ValueObject[[#This Row],[VONo]],InputValueObjects[VONo],InputValueObjects[Entity_プロパティ],"",0,1)</f>
        <v>SlideWaitingTime</v>
      </c>
      <c r="K19" s="21" t="str">
        <f>REPLACE(ValueObject[[#This Row],[Entity_プロパティ]],1,1,LOWER(LEFT(ValueObject[[#This Row],[ValueObject]])))</f>
        <v>slideWaitingTime</v>
      </c>
      <c r="L19" s="21" t="str">
        <f>ValueObject[[#This Row],[型]]&amp;" "&amp;ValueObject[[#This Row],[変数_VO]]</f>
        <v>float slideWaitingTime</v>
      </c>
      <c r="M19" s="21" t="str">
        <f>ValueObject[[#This Row],[Entity_プロパティ]]&amp;" = new "&amp;ValueObject[[#This Row],[ValueObject]]&amp;"("&amp;ValueObject[[#This Row],[変数_VO]]&amp;");"</f>
        <v>SlideWaitingTime = new SlideWaitingTime(slideWaitingTime);</v>
      </c>
      <c r="N19" s="21" t="str">
        <f>"public "&amp;ValueObject[[#This Row],[ValueObject]]&amp;" "&amp;ValueObject[[#This Row],[Entity_プロパティ]]&amp;" { get; }"</f>
        <v>public SlideWaitingTime SlideWaitingTime { get; }</v>
      </c>
      <c r="O19" s="21" t="str">
        <f>_xlfn.XLOOKUP(SUBSTITUTE(ValueObject[[#This Row],[型]],"?",""),Types[型],Types[Convert],"",,1)</f>
        <v>Convert.ToSingle</v>
      </c>
      <c r="P19" s="21" t="str">
        <f>_xlfn.XLOOKUP(SUBSTITUTE(ValueObject[[#This Row],[型]],"?",""),Types[型],Types[型_SQLite],"",0,1)</f>
        <v>REAL</v>
      </c>
      <c r="Q19" s="21" t="str">
        <f>IF(ValueObject[[#This Row],[SQLite_型]]="","",ValueObject[[#This Row],[DBテーブル_物理名]]&amp;" "&amp;ValueObject[[#This Row],[SQLite_型]])</f>
        <v>slide_waiting_time REAL</v>
      </c>
      <c r="R19" s="19" t="str" cm="1">
        <f t="array" ref="R19">SUBSTITUTE(SUBSTITUTE(Templates[Repository_Entity_Args_NotNull],"__Convert__",ValueObject[[#This Row],[Convert]]),"__TableColumn__",ValueObject[[#This Row],[DBテーブル_物理名]])</f>
        <v>Convert.ToSingle(reader["slide_waiting_time"])</v>
      </c>
      <c r="S19" s="19" t="str" cm="1">
        <f t="array" ref="S19">SUBSTITUTE(SUBSTITUTE(Templates[Repository_Entity_Args_Null],"__Convert__",ValueObject[[#This Row],[Convert]]),"__TableColumn__",ValueObject[[#This Row],[DBテーブル_物理名]])</f>
        <v>reader["slide_waiting_time"] != DBNull.Value ? Convert.ToSingle(reader["slide_waiting_time"]) : null</v>
      </c>
      <c r="T19" s="19" t="str">
        <f>IF(ValueObject[[#This Row],[NotNull]]=1,ValueObject[[#This Row],[Repository_Entity_Args_NotNull]],ValueObject[[#This Row],[Repository_Entity_Args_Null]])</f>
        <v>Convert.ToSingle(reader["slide_waiting_time"])</v>
      </c>
      <c r="U19" s="19" t="str">
        <f>ValueObject[[#This Row],[DBテーブル_物理名]]&amp;" = @"&amp;ValueObject[[#This Row],[DBテーブル_物理名]]</f>
        <v>slide_waiting_time = @slide_waiting_time</v>
      </c>
      <c r="V19" s="19" t="str" cm="1">
        <f t="array" ref="V19">SUBSTITUTE(SUBSTITUTE(Templates[SQLiteParameter_Args],"__Column__",ValueObject[[#This Row],[DBテーブル_物理名]]),"__VO__",ValueObject[[#This Row],[Entity_プロパティ]])</f>
        <v>new SQLiteParameter("@slide_waiting_time", entity.SlideWaitingTime.Value)</v>
      </c>
      <c r="W19" s="19" t="str" cm="1">
        <f t="array" ref="W19">SUBSTITUTE(SUBSTITUTE(Templates[ViewModelEntity_Property_get],"__Type__",ValueObject[[#This Row],[型]]),"__EntityProperty__",ValueObject[[#This Row],[Entity_プロパティ]])</f>
        <v xml:space="preserve">        public float SlideWaitingTime =&gt; _entity.SlideWaitingTime.Value;</v>
      </c>
      <c r="X19" s="19" t="str" cm="1">
        <f t="array" ref="X19">SUBSTITUTE(SUBSTITUTE(Templates[ViewModelEntity_Property_getset],"__Type__",ValueObject[[#This Row],[型]]),"__EntityProperty__",ValueObject[[#This Row],[Entity_プロパティ]])</f>
        <v xml:space="preserve">       public float SlideWaitingTime 
        {
            get { return _entity.SlideWaitingTime.Value; }
            set { _entity.SlideWaitingTime = new SlideWaitingTime(value);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Note</v>
      </c>
      <c r="E20" s="21" t="str">
        <f>_xlfn.XLOOKUP(ValueObject[[#This Row],[VONo]],InputValueObjects[VONo],InputValueObjects[DBカラム_物理名],"",0,1)</f>
        <v>note1</v>
      </c>
      <c r="F20" s="19" t="str">
        <f>"@"&amp;ValueObject[[#This Row],[DBテーブル_物理名]]</f>
        <v>@note1</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Note1</v>
      </c>
      <c r="K20" s="21" t="str">
        <f>REPLACE(ValueObject[[#This Row],[Entity_プロパティ]],1,1,LOWER(LEFT(ValueObject[[#This Row],[ValueObject]])))</f>
        <v>note1</v>
      </c>
      <c r="L20" s="21" t="str">
        <f>ValueObject[[#This Row],[型]]&amp;" "&amp;ValueObject[[#This Row],[変数_VO]]</f>
        <v>string? note1</v>
      </c>
      <c r="M20" s="21" t="str">
        <f>ValueObject[[#This Row],[Entity_プロパティ]]&amp;" = new "&amp;ValueObject[[#This Row],[ValueObject]]&amp;"("&amp;ValueObject[[#This Row],[変数_VO]]&amp;");"</f>
        <v>Note1 = new Note(note1);</v>
      </c>
      <c r="N20" s="21" t="str">
        <f>"public "&amp;ValueObject[[#This Row],[ValueObject]]&amp;" "&amp;ValueObject[[#This Row],[Entity_プロパティ]]&amp;" { get; }"</f>
        <v>public Note Note1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note1 TEXT</v>
      </c>
      <c r="R20" s="19" t="str" cm="1">
        <f t="array" ref="R20">SUBSTITUTE(SUBSTITUTE(Templates[Repository_Entity_Args_NotNull],"__Convert__",ValueObject[[#This Row],[Convert]]),"__TableColumn__",ValueObject[[#This Row],[DBテーブル_物理名]])</f>
        <v>Convert.ToString(reader["note1"])</v>
      </c>
      <c r="S20" s="19" t="str" cm="1">
        <f t="array" ref="S20">SUBSTITUTE(SUBSTITUTE(Templates[Repository_Entity_Args_Null],"__Convert__",ValueObject[[#This Row],[Convert]]),"__TableColumn__",ValueObject[[#This Row],[DBテーブル_物理名]])</f>
        <v>reader["note1"] != DBNull.Value ? Convert.ToString(reader["note1"]) : null</v>
      </c>
      <c r="T20" s="19" t="str">
        <f>IF(ValueObject[[#This Row],[NotNull]]=1,ValueObject[[#This Row],[Repository_Entity_Args_NotNull]],ValueObject[[#This Row],[Repository_Entity_Args_Null]])</f>
        <v>reader["note1"] != DBNull.Value ? Convert.ToString(reader["note1"]) : null</v>
      </c>
      <c r="U20" s="19" t="str">
        <f>ValueObject[[#This Row],[DBテーブル_物理名]]&amp;" = @"&amp;ValueObject[[#This Row],[DBテーブル_物理名]]</f>
        <v>note1 = @note1</v>
      </c>
      <c r="V20" s="19" t="str" cm="1">
        <f t="array" ref="V20">SUBSTITUTE(SUBSTITUTE(Templates[SQLiteParameter_Args],"__Column__",ValueObject[[#This Row],[DBテーブル_物理名]]),"__VO__",ValueObject[[#This Row],[Entity_プロパティ]])</f>
        <v>new SQLiteParameter("@note1", entity.Note1.Value)</v>
      </c>
      <c r="W20" s="19" t="str" cm="1">
        <f t="array" ref="W20">SUBSTITUTE(SUBSTITUTE(Templates[ViewModelEntity_Property_get],"__Type__",ValueObject[[#This Row],[型]]),"__EntityProperty__",ValueObject[[#This Row],[Entity_プロパティ]])</f>
        <v xml:space="preserve">        public string? Note1 =&gt; _entity.Note1.Value;</v>
      </c>
      <c r="X20" s="19" t="str" cm="1">
        <f t="array" ref="X20">SUBSTITUTE(SUBSTITUTE(Templates[ViewModelEntity_Property_getset],"__Type__",ValueObject[[#This Row],[型]]),"__EntityProperty__",ValueObject[[#This Row],[Entity_プロパティ]])</f>
        <v xml:space="preserve">       public string? Note1 
        {
            get { return _entity.Note1.Value; }
            set { _entity.Note1 = new Note1(value);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Note</v>
      </c>
      <c r="E21" s="21" t="str">
        <f>_xlfn.XLOOKUP(ValueObject[[#This Row],[VONo]],InputValueObjects[VONo],InputValueObjects[DBカラム_物理名],"",0,1)</f>
        <v>note2</v>
      </c>
      <c r="F21" s="19" t="str">
        <f>"@"&amp;ValueObject[[#This Row],[DBテーブル_物理名]]</f>
        <v>@note2</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Note2</v>
      </c>
      <c r="K21" s="21" t="str">
        <f>REPLACE(ValueObject[[#This Row],[Entity_プロパティ]],1,1,LOWER(LEFT(ValueObject[[#This Row],[ValueObject]])))</f>
        <v>note2</v>
      </c>
      <c r="L21" s="21" t="str">
        <f>ValueObject[[#This Row],[型]]&amp;" "&amp;ValueObject[[#This Row],[変数_VO]]</f>
        <v>string? note2</v>
      </c>
      <c r="M21" s="21" t="str">
        <f>ValueObject[[#This Row],[Entity_プロパティ]]&amp;" = new "&amp;ValueObject[[#This Row],[ValueObject]]&amp;"("&amp;ValueObject[[#This Row],[変数_VO]]&amp;");"</f>
        <v>Note2 = new Note(note2);</v>
      </c>
      <c r="N21" s="21" t="str">
        <f>"public "&amp;ValueObject[[#This Row],[ValueObject]]&amp;" "&amp;ValueObject[[#This Row],[Entity_プロパティ]]&amp;" { get; }"</f>
        <v>public Note Note2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note2 TEXT</v>
      </c>
      <c r="R21" s="19" t="str" cm="1">
        <f t="array" ref="R21">SUBSTITUTE(SUBSTITUTE(Templates[Repository_Entity_Args_NotNull],"__Convert__",ValueObject[[#This Row],[Convert]]),"__TableColumn__",ValueObject[[#This Row],[DBテーブル_物理名]])</f>
        <v>Convert.ToString(reader["note2"])</v>
      </c>
      <c r="S21" s="19" t="str" cm="1">
        <f t="array" ref="S21">SUBSTITUTE(SUBSTITUTE(Templates[Repository_Entity_Args_Null],"__Convert__",ValueObject[[#This Row],[Convert]]),"__TableColumn__",ValueObject[[#This Row],[DBテーブル_物理名]])</f>
        <v>reader["note2"] != DBNull.Value ? Convert.ToString(reader["note2"]) : null</v>
      </c>
      <c r="T21" s="19" t="str">
        <f>IF(ValueObject[[#This Row],[NotNull]]=1,ValueObject[[#This Row],[Repository_Entity_Args_NotNull]],ValueObject[[#This Row],[Repository_Entity_Args_Null]])</f>
        <v>reader["note2"] != DBNull.Value ? Convert.ToString(reader["note2"]) : null</v>
      </c>
      <c r="U21" s="19" t="str">
        <f>ValueObject[[#This Row],[DBテーブル_物理名]]&amp;" = @"&amp;ValueObject[[#This Row],[DBテーブル_物理名]]</f>
        <v>note2 = @note2</v>
      </c>
      <c r="V21" s="19" t="str" cm="1">
        <f t="array" ref="V21">SUBSTITUTE(SUBSTITUTE(Templates[SQLiteParameter_Args],"__Column__",ValueObject[[#This Row],[DBテーブル_物理名]]),"__VO__",ValueObject[[#This Row],[Entity_プロパティ]])</f>
        <v>new SQLiteParameter("@note2", entity.Note2.Value)</v>
      </c>
      <c r="W21" s="19" t="str" cm="1">
        <f t="array" ref="W21">SUBSTITUTE(SUBSTITUTE(Templates[ViewModelEntity_Property_get],"__Type__",ValueObject[[#This Row],[型]]),"__EntityProperty__",ValueObject[[#This Row],[Entity_プロパティ]])</f>
        <v xml:space="preserve">        public string? Note2 =&gt; _entity.Note2.Value;</v>
      </c>
      <c r="X21" s="19" t="str" cm="1">
        <f t="array" ref="X21">SUBSTITUTE(SUBSTITUTE(Templates[ViewModelEntity_Property_getset],"__Type__",ValueObject[[#This Row],[型]]),"__EntityProperty__",ValueObject[[#This Row],[Entity_プロパティ]])</f>
        <v xml:space="preserve">       public string? Note2 
        {
            get { return _entity.Note2.Value; }
            set { _entity.Note2 = new Note2(value);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Note</v>
      </c>
      <c r="E22" s="21" t="str">
        <f>_xlfn.XLOOKUP(ValueObject[[#This Row],[VONo]],InputValueObjects[VONo],InputValueObjects[DBカラム_物理名],"",0,1)</f>
        <v>note3</v>
      </c>
      <c r="F22" s="19" t="str">
        <f>"@"&amp;ValueObject[[#This Row],[DBテーブル_物理名]]</f>
        <v>@note3</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string?</v>
      </c>
      <c r="J22" s="21" t="str">
        <f>_xlfn.XLOOKUP(ValueObject[[#This Row],[VONo]],InputValueObjects[VONo],InputValueObjects[Entity_プロパティ],"",0,1)</f>
        <v>Note3</v>
      </c>
      <c r="K22" s="21" t="str">
        <f>REPLACE(ValueObject[[#This Row],[Entity_プロパティ]],1,1,LOWER(LEFT(ValueObject[[#This Row],[ValueObject]])))</f>
        <v>note3</v>
      </c>
      <c r="L22" s="21" t="str">
        <f>ValueObject[[#This Row],[型]]&amp;" "&amp;ValueObject[[#This Row],[変数_VO]]</f>
        <v>string? note3</v>
      </c>
      <c r="M22" s="21" t="str">
        <f>ValueObject[[#This Row],[Entity_プロパティ]]&amp;" = new "&amp;ValueObject[[#This Row],[ValueObject]]&amp;"("&amp;ValueObject[[#This Row],[変数_VO]]&amp;");"</f>
        <v>Note3 = new Note(note3);</v>
      </c>
      <c r="N22" s="21" t="str">
        <f>"public "&amp;ValueObject[[#This Row],[ValueObject]]&amp;" "&amp;ValueObject[[#This Row],[Entity_プロパティ]]&amp;" { get; }"</f>
        <v>public Note Note3 { get; }</v>
      </c>
      <c r="O22" s="21" t="str">
        <f>_xlfn.XLOOKUP(SUBSTITUTE(ValueObject[[#This Row],[型]],"?",""),Types[型],Types[Convert],"",,1)</f>
        <v>Convert.ToString</v>
      </c>
      <c r="P22" s="21" t="str">
        <f>_xlfn.XLOOKUP(SUBSTITUTE(ValueObject[[#This Row],[型]],"?",""),Types[型],Types[型_SQLite],"",0,1)</f>
        <v>TEXT</v>
      </c>
      <c r="Q22" s="21" t="str">
        <f>IF(ValueObject[[#This Row],[SQLite_型]]="","",ValueObject[[#This Row],[DBテーブル_物理名]]&amp;" "&amp;ValueObject[[#This Row],[SQLite_型]])</f>
        <v>note3 TEXT</v>
      </c>
      <c r="R22" s="19" t="str" cm="1">
        <f t="array" ref="R22">SUBSTITUTE(SUBSTITUTE(Templates[Repository_Entity_Args_NotNull],"__Convert__",ValueObject[[#This Row],[Convert]]),"__TableColumn__",ValueObject[[#This Row],[DBテーブル_物理名]])</f>
        <v>Convert.ToString(reader["note3"])</v>
      </c>
      <c r="S22" s="19" t="str" cm="1">
        <f t="array" ref="S22">SUBSTITUTE(SUBSTITUTE(Templates[Repository_Entity_Args_Null],"__Convert__",ValueObject[[#This Row],[Convert]]),"__TableColumn__",ValueObject[[#This Row],[DBテーブル_物理名]])</f>
        <v>reader["note3"] != DBNull.Value ? Convert.ToString(reader["note3"]) : null</v>
      </c>
      <c r="T22" s="19" t="str">
        <f>IF(ValueObject[[#This Row],[NotNull]]=1,ValueObject[[#This Row],[Repository_Entity_Args_NotNull]],ValueObject[[#This Row],[Repository_Entity_Args_Null]])</f>
        <v>reader["note3"] != DBNull.Value ? Convert.ToString(reader["note3"]) : null</v>
      </c>
      <c r="U22" s="19" t="str">
        <f>ValueObject[[#This Row],[DBテーブル_物理名]]&amp;" = @"&amp;ValueObject[[#This Row],[DBテーブル_物理名]]</f>
        <v>note3 = @note3</v>
      </c>
      <c r="V22" s="19" t="str" cm="1">
        <f t="array" ref="V22">SUBSTITUTE(SUBSTITUTE(Templates[SQLiteParameter_Args],"__Column__",ValueObject[[#This Row],[DBテーブル_物理名]]),"__VO__",ValueObject[[#This Row],[Entity_プロパティ]])</f>
        <v>new SQLiteParameter("@note3", entity.Note3.Value)</v>
      </c>
      <c r="W22" s="19" t="str" cm="1">
        <f t="array" ref="W22">SUBSTITUTE(SUBSTITUTE(Templates[ViewModelEntity_Property_get],"__Type__",ValueObject[[#This Row],[型]]),"__EntityProperty__",ValueObject[[#This Row],[Entity_プロパティ]])</f>
        <v xml:space="preserve">        public string? Note3 =&gt; _entity.Note3.Value;</v>
      </c>
      <c r="X22" s="19" t="str" cm="1">
        <f t="array" ref="X22">SUBSTITUTE(SUBSTITUTE(Templates[ViewModelEntity_Property_getset],"__Type__",ValueObject[[#This Row],[型]]),"__EntityProperty__",ValueObject[[#This Row],[Entity_プロパティ]])</f>
        <v xml:space="preserve">       public string? Note3 
        {
            get { return _entity.Note3.Value; }
            set { _entity.Note3 = new Note3(value);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
      </c>
      <c r="D23" s="21" t="str">
        <f>_xlfn.XLOOKUP(ValueObject[[#This Row],[VONo]],InputValueObjects[VONo],InputValueObjects[ValueObject],"",0,1)</f>
        <v/>
      </c>
      <c r="E23" s="21">
        <f>_xlfn.XLOOKUP(ValueObject[[#This Row],[VONo]],InputValueObjects[VONo],InputValueObjects[DBカラム_物理名],"",0,1)</f>
        <v>0</v>
      </c>
      <c r="F23" s="19" t="str">
        <f>"@"&amp;ValueObject[[#This Row],[DBテーブル_物理名]]</f>
        <v>@0</v>
      </c>
      <c r="G23" s="21">
        <f>_xlfn.XLOOKUP(ValueObject[[#This Row],[VONo]],InputValueObjects[VONo],InputValueObjects[PK],"",0,1)</f>
        <v>0</v>
      </c>
      <c r="H23" s="21">
        <f>_xlfn.XLOOKUP(ValueObject[[#This Row],[VONo]],InputValueObjects[VONo],InputValueObjects[NotNull],"",0,1)</f>
        <v>0</v>
      </c>
      <c r="I23" s="21" t="str">
        <f>_xlfn.XLOOKUP(ValueObject[[#This Row],[VONo]],InputValueObjects[VONo],InputValueObjects[型],"",0,1)</f>
        <v/>
      </c>
      <c r="J23" s="21" t="str">
        <f>_xlfn.XLOOKUP(ValueObject[[#This Row],[VONo]],InputValueObjects[VONo],InputValueObjects[Entity_プロパティ],"",0,1)</f>
        <v/>
      </c>
      <c r="K23" s="21" t="str">
        <f>REPLACE(ValueObject[[#This Row],[Entity_プロパティ]],1,1,LOWER(LEFT(ValueObject[[#This Row],[ValueObject]])))</f>
        <v/>
      </c>
      <c r="L23" s="21" t="str">
        <f>ValueObject[[#This Row],[型]]&amp;" "&amp;ValueObject[[#This Row],[変数_VO]]</f>
        <v xml:space="preserve"> </v>
      </c>
      <c r="M23" s="21" t="str">
        <f>ValueObject[[#This Row],[Entity_プロパティ]]&amp;" = new "&amp;ValueObject[[#This Row],[ValueObject]]&amp;"("&amp;ValueObject[[#This Row],[変数_VO]]&amp;");"</f>
        <v xml:space="preserve"> = new ();</v>
      </c>
      <c r="N23" s="21" t="str">
        <f>"public "&amp;ValueObject[[#This Row],[ValueObject]]&amp;" "&amp;ValueObject[[#This Row],[Entity_プロパティ]]&amp;" { get; }"</f>
        <v>public   { get; }</v>
      </c>
      <c r="O23" s="21" t="str">
        <f>_xlfn.XLOOKUP(SUBSTITUTE(ValueObject[[#This Row],[型]],"?",""),Types[型],Types[Convert],"",,1)</f>
        <v/>
      </c>
      <c r="P23" s="21" t="str">
        <f>_xlfn.XLOOKUP(SUBSTITUTE(ValueObject[[#This Row],[型]],"?",""),Types[型],Types[型_SQLite],"",0,1)</f>
        <v/>
      </c>
      <c r="Q23" s="21" t="str">
        <f>IF(ValueObject[[#This Row],[SQLite_型]]="","",ValueObject[[#This Row],[DBテーブル_物理名]]&amp;" "&amp;ValueObject[[#This Row],[SQLite_型]])</f>
        <v/>
      </c>
      <c r="R23" s="19" t="str" cm="1">
        <f t="array" ref="R23">SUBSTITUTE(SUBSTITUTE(Templates[Repository_Entity_Args_NotNull],"__Convert__",ValueObject[[#This Row],[Convert]]),"__TableColumn__",ValueObject[[#This Row],[DBテーブル_物理名]])</f>
        <v>(reader["0"])</v>
      </c>
      <c r="S23" s="19" t="str" cm="1">
        <f t="array" ref="S23">SUBSTITUTE(SUBSTITUTE(Templates[Repository_Entity_Args_Null],"__Convert__",ValueObject[[#This Row],[Convert]]),"__TableColumn__",ValueObject[[#This Row],[DBテーブル_物理名]])</f>
        <v>reader["0"] != DBNull.Value ? (reader["0"]) : null</v>
      </c>
      <c r="T23" s="19" t="str">
        <f>IF(ValueObject[[#This Row],[NotNull]]=1,ValueObject[[#This Row],[Repository_Entity_Args_NotNull]],ValueObject[[#This Row],[Repository_Entity_Args_Null]])</f>
        <v>reader["0"] != DBNull.Value ? (reader["0"]) : null</v>
      </c>
      <c r="U23" s="19" t="str">
        <f>ValueObject[[#This Row],[DBテーブル_物理名]]&amp;" = @"&amp;ValueObject[[#This Row],[DBテーブル_物理名]]</f>
        <v>0 = @0</v>
      </c>
      <c r="V23" s="19" t="str" cm="1">
        <f t="array" ref="V23">SUBSTITUTE(SUBSTITUTE(Templates[SQLiteParameter_Args],"__Column__",ValueObject[[#This Row],[DBテーブル_物理名]]),"__VO__",ValueObject[[#This Row],[Entity_プロパティ]])</f>
        <v>new SQLiteParameter("@0", entity..Value)</v>
      </c>
      <c r="W23" s="19" t="str" cm="1">
        <f t="array" ref="W23">SUBSTITUTE(SUBSTITUTE(Templates[ViewModelEntity_Property_get],"__Type__",ValueObject[[#This Row],[型]]),"__EntityProperty__",ValueObject[[#This Row],[Entity_プロパティ]])</f>
        <v xml:space="preserve">        public   =&gt; _entity..Value;</v>
      </c>
      <c r="X23" s="19" t="str" cm="1">
        <f t="array" ref="X23">SUBSTITUTE(SUBSTITUTE(Templates[ViewModelEntity_Property_getset],"__Type__",ValueObject[[#This Row],[型]]),"__EntityProperty__",ValueObject[[#This Row],[Entity_プロパティ]])</f>
        <v xml:space="preserve">       public   
        {
            get { return _entity..Value; }
            set { _entity. = new (value); }
        }</v>
      </c>
      <c r="Y23" s="19" t="str" cm="1">
        <f t="array" ref="Y23">IF(ValueObject[[#This Row],[ValueObject]]="","",SUBSTITUTE(SUBSTITUTE(SUBSTITUTE(Templates[ValueObject],"__SN__",'1_インプット'!$D$3),"__VO__",ValueObject[[#This Row],[ValueObject]]),"__VOType__",ValueObject[[#This Row],[型]]))</f>
        <v/>
      </c>
    </row>
    <row r="24" spans="2:25" ht="20.05" customHeight="1">
      <c r="B24" s="20">
        <f>ROW(ValueObject[[#This Row],[VONo]])-3</f>
        <v>21</v>
      </c>
      <c r="C24" s="21" t="str">
        <f>_xlfn.XLOOKUP(ValueObject[[#This Row],[VONo]],InputValueObjects[VONo],InputValueObjects[Entity],"",0,1)</f>
        <v/>
      </c>
      <c r="D24" s="21" t="str">
        <f>_xlfn.XLOOKUP(ValueObject[[#This Row],[VONo]],InputValueObjects[VONo],InputValueObjects[ValueObject],"",0,1)</f>
        <v/>
      </c>
      <c r="E24" s="21">
        <f>_xlfn.XLOOKUP(ValueObject[[#This Row],[VONo]],InputValueObjects[VONo],InputValueObjects[DBカラム_物理名],"",0,1)</f>
        <v>0</v>
      </c>
      <c r="F24" s="19" t="str">
        <f>"@"&amp;ValueObject[[#This Row],[DBテーブル_物理名]]</f>
        <v>@0</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
      </c>
      <c r="J24" s="21" t="str">
        <f>_xlfn.XLOOKUP(ValueObject[[#This Row],[VONo]],InputValueObjects[VONo],InputValueObjects[Entity_プロパティ],"",0,1)</f>
        <v/>
      </c>
      <c r="K24" s="21" t="str">
        <f>REPLACE(ValueObject[[#This Row],[Entity_プロパティ]],1,1,LOWER(LEFT(ValueObject[[#This Row],[ValueObject]])))</f>
        <v/>
      </c>
      <c r="L24" s="21" t="str">
        <f>ValueObject[[#This Row],[型]]&amp;" "&amp;ValueObject[[#This Row],[変数_VO]]</f>
        <v xml:space="preserve"> </v>
      </c>
      <c r="M24" s="21" t="str">
        <f>ValueObject[[#This Row],[Entity_プロパティ]]&amp;" = new "&amp;ValueObject[[#This Row],[ValueObject]]&amp;"("&amp;ValueObject[[#This Row],[変数_VO]]&amp;");"</f>
        <v xml:space="preserve"> = new ();</v>
      </c>
      <c r="N24" s="21" t="str">
        <f>"public "&amp;ValueObject[[#This Row],[ValueObject]]&amp;" "&amp;ValueObject[[#This Row],[Entity_プロパティ]]&amp;" { get; }"</f>
        <v>public   { get; }</v>
      </c>
      <c r="O24" s="21" t="str">
        <f>_xlfn.XLOOKUP(SUBSTITUTE(ValueObject[[#This Row],[型]],"?",""),Types[型],Types[Convert],"",,1)</f>
        <v/>
      </c>
      <c r="P24" s="21" t="str">
        <f>_xlfn.XLOOKUP(SUBSTITUTE(ValueObject[[#This Row],[型]],"?",""),Types[型],Types[型_SQLite],"",0,1)</f>
        <v/>
      </c>
      <c r="Q24" s="21" t="str">
        <f>IF(ValueObject[[#This Row],[SQLite_型]]="","",ValueObject[[#This Row],[DBテーブル_物理名]]&amp;" "&amp;ValueObject[[#This Row],[SQLite_型]])</f>
        <v/>
      </c>
      <c r="R24" s="19" t="str" cm="1">
        <f t="array" ref="R24">SUBSTITUTE(SUBSTITUTE(Templates[Repository_Entity_Args_NotNull],"__Convert__",ValueObject[[#This Row],[Convert]]),"__TableColumn__",ValueObject[[#This Row],[DBテーブル_物理名]])</f>
        <v>(reader["0"])</v>
      </c>
      <c r="S24" s="19" t="str" cm="1">
        <f t="array" ref="S24">SUBSTITUTE(SUBSTITUTE(Templates[Repository_Entity_Args_Null],"__Convert__",ValueObject[[#This Row],[Convert]]),"__TableColumn__",ValueObject[[#This Row],[DBテーブル_物理名]])</f>
        <v>reader["0"] != DBNull.Value ? (reader["0"]) : null</v>
      </c>
      <c r="T24" s="19" t="str">
        <f>IF(ValueObject[[#This Row],[NotNull]]=1,ValueObject[[#This Row],[Repository_Entity_Args_NotNull]],ValueObject[[#This Row],[Repository_Entity_Args_Null]])</f>
        <v>reader["0"] != DBNull.Value ? (reader["0"]) : null</v>
      </c>
      <c r="U24" s="19" t="str">
        <f>ValueObject[[#This Row],[DBテーブル_物理名]]&amp;" = @"&amp;ValueObject[[#This Row],[DBテーブル_物理名]]</f>
        <v>0 = @0</v>
      </c>
      <c r="V24" s="19" t="str" cm="1">
        <f t="array" ref="V24">SUBSTITUTE(SUBSTITUTE(Templates[SQLiteParameter_Args],"__Column__",ValueObject[[#This Row],[DBテーブル_物理名]]),"__VO__",ValueObject[[#This Row],[Entity_プロパティ]])</f>
        <v>new SQLiteParameter("@0", entity..Value)</v>
      </c>
      <c r="W24" s="19" t="str" cm="1">
        <f t="array" ref="W24">SUBSTITUTE(SUBSTITUTE(Templates[ViewModelEntity_Property_get],"__Type__",ValueObject[[#This Row],[型]]),"__EntityProperty__",ValueObject[[#This Row],[Entity_プロパティ]])</f>
        <v xml:space="preserve">        public   =&gt; _entity..Value;</v>
      </c>
      <c r="X24" s="19" t="str" cm="1">
        <f t="array" ref="X24">SUBSTITUTE(SUBSTITUTE(Templates[ViewModelEntity_Property_getset],"__Type__",ValueObject[[#This Row],[型]]),"__EntityProperty__",ValueObject[[#This Row],[Entity_プロパティ]])</f>
        <v xml:space="preserve">       public   
        {
            get { return _entity..Value; }
            set { _entity. = new (value); }
        }</v>
      </c>
      <c r="Y24" s="19" t="str" cm="1">
        <f t="array" ref="Y24">IF(ValueObject[[#This Row],[ValueObject]]="","",SUBSTITUTE(SUBSTITUTE(SUBSTITUTE(Templates[ValueObject],"__SN__",'1_インプット'!$D$3),"__VO__",ValueObject[[#This Row],[ValueObject]]),"__VOType__",ValueObject[[#This Row],[型]]))</f>
        <v/>
      </c>
    </row>
    <row r="25" spans="2:25" ht="20.05" customHeight="1">
      <c r="B25" s="20">
        <f>ROW(ValueObject[[#This Row],[VONo]])-3</f>
        <v>22</v>
      </c>
      <c r="C25" s="21" t="str">
        <f>_xlfn.XLOOKUP(ValueObject[[#This Row],[VONo]],InputValueObjects[VONo],InputValueObjects[Entity],"",0,1)</f>
        <v/>
      </c>
      <c r="D25" s="21" t="str">
        <f>_xlfn.XLOOKUP(ValueObject[[#This Row],[VONo]],InputValueObjects[VONo],InputValueObjects[ValueObject],"",0,1)</f>
        <v/>
      </c>
      <c r="E25" s="21">
        <f>_xlfn.XLOOKUP(ValueObject[[#This Row],[VONo]],InputValueObjects[VONo],InputValueObjects[DBカラム_物理名],"",0,1)</f>
        <v>0</v>
      </c>
      <c r="F25" s="19" t="str">
        <f>"@"&amp;ValueObject[[#This Row],[DBテーブル_物理名]]</f>
        <v>@0</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
      </c>
      <c r="J25" s="21" t="str">
        <f>_xlfn.XLOOKUP(ValueObject[[#This Row],[VONo]],InputValueObjects[VONo],InputValueObjects[Entity_プロパティ],"",0,1)</f>
        <v/>
      </c>
      <c r="K25" s="21" t="str">
        <f>REPLACE(ValueObject[[#This Row],[Entity_プロパティ]],1,1,LOWER(LEFT(ValueObject[[#This Row],[ValueObject]])))</f>
        <v/>
      </c>
      <c r="L25" s="21" t="str">
        <f>ValueObject[[#This Row],[型]]&amp;" "&amp;ValueObject[[#This Row],[変数_VO]]</f>
        <v xml:space="preserve"> </v>
      </c>
      <c r="M25" s="21" t="str">
        <f>ValueObject[[#This Row],[Entity_プロパティ]]&amp;" = new "&amp;ValueObject[[#This Row],[ValueObject]]&amp;"("&amp;ValueObject[[#This Row],[変数_VO]]&amp;");"</f>
        <v xml:space="preserve"> = new ();</v>
      </c>
      <c r="N25" s="21" t="str">
        <f>"public "&amp;ValueObject[[#This Row],[ValueObject]]&amp;" "&amp;ValueObject[[#This Row],[Entity_プロパティ]]&amp;" { get; }"</f>
        <v>public   { get; }</v>
      </c>
      <c r="O25" s="21" t="str">
        <f>_xlfn.XLOOKUP(SUBSTITUTE(ValueObject[[#This Row],[型]],"?",""),Types[型],Types[Convert],"",,1)</f>
        <v/>
      </c>
      <c r="P25" s="21" t="str">
        <f>_xlfn.XLOOKUP(SUBSTITUTE(ValueObject[[#This Row],[型]],"?",""),Types[型],Types[型_SQLite],"",0,1)</f>
        <v/>
      </c>
      <c r="Q25" s="21" t="str">
        <f>IF(ValueObject[[#This Row],[SQLite_型]]="","",ValueObject[[#This Row],[DBテーブル_物理名]]&amp;" "&amp;ValueObject[[#This Row],[SQLite_型]])</f>
        <v/>
      </c>
      <c r="R25" s="19" t="str" cm="1">
        <f t="array" ref="R25">SUBSTITUTE(SUBSTITUTE(Templates[Repository_Entity_Args_NotNull],"__Convert__",ValueObject[[#This Row],[Convert]]),"__TableColumn__",ValueObject[[#This Row],[DBテーブル_物理名]])</f>
        <v>(reader["0"])</v>
      </c>
      <c r="S25" s="19" t="str" cm="1">
        <f t="array" ref="S25">SUBSTITUTE(SUBSTITUTE(Templates[Repository_Entity_Args_Null],"__Convert__",ValueObject[[#This Row],[Convert]]),"__TableColumn__",ValueObject[[#This Row],[DBテーブル_物理名]])</f>
        <v>reader["0"] != DBNull.Value ? (reader["0"]) : null</v>
      </c>
      <c r="T25" s="19" t="str">
        <f>IF(ValueObject[[#This Row],[NotNull]]=1,ValueObject[[#This Row],[Repository_Entity_Args_NotNull]],ValueObject[[#This Row],[Repository_Entity_Args_Null]])</f>
        <v>reader["0"] != DBNull.Value ? (reader["0"]) : null</v>
      </c>
      <c r="U25" s="19" t="str">
        <f>ValueObject[[#This Row],[DBテーブル_物理名]]&amp;" = @"&amp;ValueObject[[#This Row],[DBテーブル_物理名]]</f>
        <v>0 = @0</v>
      </c>
      <c r="V25" s="19" t="str" cm="1">
        <f t="array" ref="V25">SUBSTITUTE(SUBSTITUTE(Templates[SQLiteParameter_Args],"__Column__",ValueObject[[#This Row],[DBテーブル_物理名]]),"__VO__",ValueObject[[#This Row],[Entity_プロパティ]])</f>
        <v>new SQLiteParameter("@0", entity..Value)</v>
      </c>
      <c r="W25" s="19" t="str" cm="1">
        <f t="array" ref="W25">SUBSTITUTE(SUBSTITUTE(Templates[ViewModelEntity_Property_get],"__Type__",ValueObject[[#This Row],[型]]),"__EntityProperty__",ValueObject[[#This Row],[Entity_プロパティ]])</f>
        <v xml:space="preserve">        public   =&gt; _entity..Value;</v>
      </c>
      <c r="X25" s="19" t="str" cm="1">
        <f t="array" ref="X25">SUBSTITUTE(SUBSTITUTE(Templates[ViewModelEntity_Property_getset],"__Type__",ValueObject[[#This Row],[型]]),"__EntityProperty__",ValueObject[[#This Row],[Entity_プロパティ]])</f>
        <v xml:space="preserve">       public   
        {
            get { return _entity..Value; }
            set { _entity. = new (value); }
        }</v>
      </c>
      <c r="Y25" s="19" t="str" cm="1">
        <f t="array" ref="Y25">IF(ValueObject[[#This Row],[ValueObject]]="","",SUBSTITUTE(SUBSTITUTE(SUBSTITUTE(Templates[ValueObject],"__SN__",'1_インプット'!$D$3),"__VO__",ValueObject[[#This Row],[ValueObject]]),"__VOType__",ValueObject[[#This Row],[型]]))</f>
        <v/>
      </c>
    </row>
    <row r="26" spans="2:25" ht="20.05" customHeight="1">
      <c r="B26" s="20">
        <f>ROW(ValueObject[[#This Row],[VONo]])-3</f>
        <v>23</v>
      </c>
      <c r="C26" s="21" t="str">
        <f>_xlfn.XLOOKUP(ValueObject[[#This Row],[VONo]],InputValueObjects[VONo],InputValueObjects[Entity],"",0,1)</f>
        <v/>
      </c>
      <c r="D26" s="21" t="str">
        <f>_xlfn.XLOOKUP(ValueObject[[#This Row],[VONo]],InputValueObjects[VONo],InputValueObjects[ValueObject],"",0,1)</f>
        <v/>
      </c>
      <c r="E26" s="21">
        <f>_xlfn.XLOOKUP(ValueObject[[#This Row],[VONo]],InputValueObjects[VONo],InputValueObjects[DBカラム_物理名],"",0,1)</f>
        <v>0</v>
      </c>
      <c r="F26" s="19" t="str">
        <f>"@"&amp;ValueObject[[#This Row],[DBテーブル_物理名]]</f>
        <v>@0</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
      </c>
      <c r="J26" s="21" t="str">
        <f>_xlfn.XLOOKUP(ValueObject[[#This Row],[VONo]],InputValueObjects[VONo],InputValueObjects[Entity_プロパティ],"",0,1)</f>
        <v/>
      </c>
      <c r="K26" s="21" t="str">
        <f>REPLACE(ValueObject[[#This Row],[Entity_プロパティ]],1,1,LOWER(LEFT(ValueObject[[#This Row],[ValueObject]])))</f>
        <v/>
      </c>
      <c r="L26" s="21" t="str">
        <f>ValueObject[[#This Row],[型]]&amp;" "&amp;ValueObject[[#This Row],[変数_VO]]</f>
        <v xml:space="preserve"> </v>
      </c>
      <c r="M26" s="21" t="str">
        <f>ValueObject[[#This Row],[Entity_プロパティ]]&amp;" = new "&amp;ValueObject[[#This Row],[ValueObject]]&amp;"("&amp;ValueObject[[#This Row],[変数_VO]]&amp;");"</f>
        <v xml:space="preserve"> = new ();</v>
      </c>
      <c r="N26" s="21" t="str">
        <f>"public "&amp;ValueObject[[#This Row],[ValueObject]]&amp;" "&amp;ValueObject[[#This Row],[Entity_プロパティ]]&amp;" { get; }"</f>
        <v>public   { get; }</v>
      </c>
      <c r="O26" s="21" t="str">
        <f>_xlfn.XLOOKUP(SUBSTITUTE(ValueObject[[#This Row],[型]],"?",""),Types[型],Types[Convert],"",,1)</f>
        <v/>
      </c>
      <c r="P26" s="21" t="str">
        <f>_xlfn.XLOOKUP(SUBSTITUTE(ValueObject[[#This Row],[型]],"?",""),Types[型],Types[型_SQLite],"",0,1)</f>
        <v/>
      </c>
      <c r="Q26" s="21" t="str">
        <f>IF(ValueObject[[#This Row],[SQLite_型]]="","",ValueObject[[#This Row],[DBテーブル_物理名]]&amp;" "&amp;ValueObject[[#This Row],[SQLite_型]])</f>
        <v/>
      </c>
      <c r="R26" s="19" t="str" cm="1">
        <f t="array" ref="R26">SUBSTITUTE(SUBSTITUTE(Templates[Repository_Entity_Args_NotNull],"__Convert__",ValueObject[[#This Row],[Convert]]),"__TableColumn__",ValueObject[[#This Row],[DBテーブル_物理名]])</f>
        <v>(reader["0"])</v>
      </c>
      <c r="S26" s="19" t="str" cm="1">
        <f t="array" ref="S26">SUBSTITUTE(SUBSTITUTE(Templates[Repository_Entity_Args_Null],"__Convert__",ValueObject[[#This Row],[Convert]]),"__TableColumn__",ValueObject[[#This Row],[DBテーブル_物理名]])</f>
        <v>reader["0"] != DBNull.Value ? (reader["0"]) : null</v>
      </c>
      <c r="T26" s="19" t="str">
        <f>IF(ValueObject[[#This Row],[NotNull]]=1,ValueObject[[#This Row],[Repository_Entity_Args_NotNull]],ValueObject[[#This Row],[Repository_Entity_Args_Null]])</f>
        <v>reader["0"] != DBNull.Value ? (reader["0"]) : null</v>
      </c>
      <c r="U26" s="19" t="str">
        <f>ValueObject[[#This Row],[DBテーブル_物理名]]&amp;" = @"&amp;ValueObject[[#This Row],[DBテーブル_物理名]]</f>
        <v>0 = @0</v>
      </c>
      <c r="V26" s="19" t="str" cm="1">
        <f t="array" ref="V26">SUBSTITUTE(SUBSTITUTE(Templates[SQLiteParameter_Args],"__Column__",ValueObject[[#This Row],[DBテーブル_物理名]]),"__VO__",ValueObject[[#This Row],[Entity_プロパティ]])</f>
        <v>new SQLiteParameter("@0", entity..Value)</v>
      </c>
      <c r="W26" s="19" t="str" cm="1">
        <f t="array" ref="W26">SUBSTITUTE(SUBSTITUTE(Templates[ViewModelEntity_Property_get],"__Type__",ValueObject[[#This Row],[型]]),"__EntityProperty__",ValueObject[[#This Row],[Entity_プロパティ]])</f>
        <v xml:space="preserve">        public   =&gt; _entity..Value;</v>
      </c>
      <c r="X26" s="19" t="str" cm="1">
        <f t="array" ref="X26">SUBSTITUTE(SUBSTITUTE(Templates[ViewModelEntity_Property_getset],"__Type__",ValueObject[[#This Row],[型]]),"__EntityProperty__",ValueObject[[#This Row],[Entity_プロパティ]])</f>
        <v xml:space="preserve">       public   
        {
            get { return _entity..Value; }
            set { _entity. = new (value); }
        }</v>
      </c>
      <c r="Y26" s="19" t="str" cm="1">
        <f t="array" ref="Y26">IF(ValueObject[[#This Row],[ValueObject]]="","",SUBSTITUTE(SUBSTITUTE(SUBSTITUTE(Templates[ValueObject],"__SN__",'1_インプット'!$D$3),"__VO__",ValueObject[[#This Row],[ValueObject]]),"__VOType__",ValueObject[[#This Row],[型]]))</f>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_entity..Value;</v>
      </c>
      <c r="X27" s="19" t="str" cm="1">
        <f t="array" ref="X27">SUBSTITUTE(SUBSTITUTE(Templates[ViewModelEntity_Property_getset],"__Type__",ValueObject[[#This Row],[型]]),"__EntityProperty__",ValueObject[[#This Row],[Entity_プロパティ]])</f>
        <v xml:space="preserve">       public   
        {
            get { return _entity..Value; }
            set { _entity.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
      </c>
      <c r="D28" s="21" t="str">
        <f>_xlfn.XLOOKUP(ValueObject[[#This Row],[VONo]],InputValueObjects[VONo],InputValueObjects[ValueObject],"",0,1)</f>
        <v/>
      </c>
      <c r="E28" s="21">
        <f>_xlfn.XLOOKUP(ValueObject[[#This Row],[VONo]],InputValueObjects[VONo],InputValueObjects[DBカラム_物理名],"",0,1)</f>
        <v>0</v>
      </c>
      <c r="F28" s="19" t="str">
        <f>"@"&amp;ValueObject[[#This Row],[DBテーブル_物理名]]</f>
        <v>@0</v>
      </c>
      <c r="G28" s="21">
        <f>_xlfn.XLOOKUP(ValueObject[[#This Row],[VONo]],InputValueObjects[VONo],InputValueObjects[PK],"",0,1)</f>
        <v>0</v>
      </c>
      <c r="H28" s="21">
        <f>_xlfn.XLOOKUP(ValueObject[[#This Row],[VONo]],InputValueObjects[VONo],InputValueObjects[NotNull],"",0,1)</f>
        <v>0</v>
      </c>
      <c r="I28" s="21" t="str">
        <f>_xlfn.XLOOKUP(ValueObject[[#This Row],[VONo]],InputValueObjects[VONo],InputValueObjects[型],"",0,1)</f>
        <v/>
      </c>
      <c r="J28" s="21" t="str">
        <f>_xlfn.XLOOKUP(ValueObject[[#This Row],[VONo]],InputValueObjects[VONo],InputValueObjects[Entity_プロパティ],"",0,1)</f>
        <v/>
      </c>
      <c r="K28" s="21" t="str">
        <f>REPLACE(ValueObject[[#This Row],[Entity_プロパティ]],1,1,LOWER(LEFT(ValueObject[[#This Row],[ValueObject]])))</f>
        <v/>
      </c>
      <c r="L28" s="21" t="str">
        <f>ValueObject[[#This Row],[型]]&amp;" "&amp;ValueObject[[#This Row],[変数_VO]]</f>
        <v xml:space="preserve"> </v>
      </c>
      <c r="M28" s="21" t="str">
        <f>ValueObject[[#This Row],[Entity_プロパティ]]&amp;" = new "&amp;ValueObject[[#This Row],[ValueObject]]&amp;"("&amp;ValueObject[[#This Row],[変数_VO]]&amp;");"</f>
        <v xml:space="preserve"> = new ();</v>
      </c>
      <c r="N28" s="21" t="str">
        <f>"public "&amp;ValueObject[[#This Row],[ValueObject]]&amp;" "&amp;ValueObject[[#This Row],[Entity_プロパティ]]&amp;" { get; }"</f>
        <v>public   { get; }</v>
      </c>
      <c r="O28" s="21" t="str">
        <f>_xlfn.XLOOKUP(SUBSTITUTE(ValueObject[[#This Row],[型]],"?",""),Types[型],Types[Convert],"",,1)</f>
        <v/>
      </c>
      <c r="P28" s="21" t="str">
        <f>_xlfn.XLOOKUP(SUBSTITUTE(ValueObject[[#This Row],[型]],"?",""),Types[型],Types[型_SQLite],"",0,1)</f>
        <v/>
      </c>
      <c r="Q28" s="21" t="str">
        <f>IF(ValueObject[[#This Row],[SQLite_型]]="","",ValueObject[[#This Row],[DBテーブル_物理名]]&amp;" "&amp;ValueObject[[#This Row],[SQLite_型]])</f>
        <v/>
      </c>
      <c r="R28" s="19" t="str" cm="1">
        <f t="array" ref="R28">SUBSTITUTE(SUBSTITUTE(Templates[Repository_Entity_Args_NotNull],"__Convert__",ValueObject[[#This Row],[Convert]]),"__TableColumn__",ValueObject[[#This Row],[DBテーブル_物理名]])</f>
        <v>(reader["0"])</v>
      </c>
      <c r="S28" s="19" t="str" cm="1">
        <f t="array" ref="S28">SUBSTITUTE(SUBSTITUTE(Templates[Repository_Entity_Args_Null],"__Convert__",ValueObject[[#This Row],[Convert]]),"__TableColumn__",ValueObject[[#This Row],[DBテーブル_物理名]])</f>
        <v>reader["0"] != DBNull.Value ? (reader["0"]) : null</v>
      </c>
      <c r="T28" s="19" t="str">
        <f>IF(ValueObject[[#This Row],[NotNull]]=1,ValueObject[[#This Row],[Repository_Entity_Args_NotNull]],ValueObject[[#This Row],[Repository_Entity_Args_Null]])</f>
        <v>reader["0"] != DBNull.Value ? (reader["0"]) : null</v>
      </c>
      <c r="U28" s="19" t="str">
        <f>ValueObject[[#This Row],[DBテーブル_物理名]]&amp;" = @"&amp;ValueObject[[#This Row],[DBテーブル_物理名]]</f>
        <v>0 = @0</v>
      </c>
      <c r="V28" s="19" t="str" cm="1">
        <f t="array" ref="V28">SUBSTITUTE(SUBSTITUTE(Templates[SQLiteParameter_Args],"__Column__",ValueObject[[#This Row],[DBテーブル_物理名]]),"__VO__",ValueObject[[#This Row],[Entity_プロパティ]])</f>
        <v>new SQLiteParameter("@0", entity..Value)</v>
      </c>
      <c r="W28" s="19" t="str" cm="1">
        <f t="array" ref="W28">SUBSTITUTE(SUBSTITUTE(Templates[ViewModelEntity_Property_get],"__Type__",ValueObject[[#This Row],[型]]),"__EntityProperty__",ValueObject[[#This Row],[Entity_プロパティ]])</f>
        <v xml:space="preserve">        public   =&gt; _entity..Value;</v>
      </c>
      <c r="X28" s="19" t="str" cm="1">
        <f t="array" ref="X28">SUBSTITUTE(SUBSTITUTE(Templates[ViewModelEntity_Property_getset],"__Type__",ValueObject[[#This Row],[型]]),"__EntityProperty__",ValueObject[[#This Row],[Entity_プロパティ]])</f>
        <v xml:space="preserve">       public   
        {
            get { return _entity..Value; }
            set { _entity. = new (value); }
        }</v>
      </c>
      <c r="Y28" s="19" t="str" cm="1">
        <f t="array" ref="Y28">IF(ValueObject[[#This Row],[ValueObject]]="","",SUBSTITUTE(SUBSTITUTE(SUBSTITUTE(Templates[ValueObject],"__SN__",'1_インプット'!$D$3),"__VO__",ValueObject[[#This Row],[ValueObject]]),"__VOType__",ValueObject[[#This Row],[型]]))</f>
        <v/>
      </c>
    </row>
    <row r="29" spans="2:25" ht="20.05" customHeight="1">
      <c r="B29" s="20">
        <f>ROW(ValueObject[[#This Row],[VONo]])-3</f>
        <v>26</v>
      </c>
      <c r="C29" s="21" t="str">
        <f>_xlfn.XLOOKUP(ValueObject[[#This Row],[VONo]],InputValueObjects[VONo],InputValueObjects[Entity],"",0,1)</f>
        <v/>
      </c>
      <c r="D29" s="21" t="str">
        <f>_xlfn.XLOOKUP(ValueObject[[#This Row],[VONo]],InputValueObjects[VONo],InputValueObjects[ValueObject],"",0,1)</f>
        <v/>
      </c>
      <c r="E29" s="21">
        <f>_xlfn.XLOOKUP(ValueObject[[#This Row],[VONo]],InputValueObjects[VONo],InputValueObjects[DBカラム_物理名],"",0,1)</f>
        <v>0</v>
      </c>
      <c r="F29" s="19" t="str">
        <f>"@"&amp;ValueObject[[#This Row],[DBテーブル_物理名]]</f>
        <v>@0</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
      </c>
      <c r="J29" s="21" t="str">
        <f>_xlfn.XLOOKUP(ValueObject[[#This Row],[VONo]],InputValueObjects[VONo],InputValueObjects[Entity_プロパティ],"",0,1)</f>
        <v/>
      </c>
      <c r="K29" s="21" t="str">
        <f>REPLACE(ValueObject[[#This Row],[Entity_プロパティ]],1,1,LOWER(LEFT(ValueObject[[#This Row],[ValueObject]])))</f>
        <v/>
      </c>
      <c r="L29" s="21" t="str">
        <f>ValueObject[[#This Row],[型]]&amp;" "&amp;ValueObject[[#This Row],[変数_VO]]</f>
        <v xml:space="preserve"> </v>
      </c>
      <c r="M29" s="21" t="str">
        <f>ValueObject[[#This Row],[Entity_プロパティ]]&amp;" = new "&amp;ValueObject[[#This Row],[ValueObject]]&amp;"("&amp;ValueObject[[#This Row],[変数_VO]]&amp;");"</f>
        <v xml:space="preserve"> = new ();</v>
      </c>
      <c r="N29" s="21" t="str">
        <f>"public "&amp;ValueObject[[#This Row],[ValueObject]]&amp;" "&amp;ValueObject[[#This Row],[Entity_プロパティ]]&amp;" { get; }"</f>
        <v>public   { get; }</v>
      </c>
      <c r="O29" s="21" t="str">
        <f>_xlfn.XLOOKUP(SUBSTITUTE(ValueObject[[#This Row],[型]],"?",""),Types[型],Types[Convert],"",,1)</f>
        <v/>
      </c>
      <c r="P29" s="21" t="str">
        <f>_xlfn.XLOOKUP(SUBSTITUTE(ValueObject[[#This Row],[型]],"?",""),Types[型],Types[型_SQLite],"",0,1)</f>
        <v/>
      </c>
      <c r="Q29" s="21" t="str">
        <f>IF(ValueObject[[#This Row],[SQLite_型]]="","",ValueObject[[#This Row],[DBテーブル_物理名]]&amp;" "&amp;ValueObject[[#This Row],[SQLite_型]])</f>
        <v/>
      </c>
      <c r="R29" s="19" t="str" cm="1">
        <f t="array" ref="R29">SUBSTITUTE(SUBSTITUTE(Templates[Repository_Entity_Args_NotNull],"__Convert__",ValueObject[[#This Row],[Convert]]),"__TableColumn__",ValueObject[[#This Row],[DBテーブル_物理名]])</f>
        <v>(reader["0"])</v>
      </c>
      <c r="S29" s="19" t="str" cm="1">
        <f t="array" ref="S29">SUBSTITUTE(SUBSTITUTE(Templates[Repository_Entity_Args_Null],"__Convert__",ValueObject[[#This Row],[Convert]]),"__TableColumn__",ValueObject[[#This Row],[DBテーブル_物理名]])</f>
        <v>reader["0"] != DBNull.Value ? (reader["0"]) : null</v>
      </c>
      <c r="T29" s="19" t="str">
        <f>IF(ValueObject[[#This Row],[NotNull]]=1,ValueObject[[#This Row],[Repository_Entity_Args_NotNull]],ValueObject[[#This Row],[Repository_Entity_Args_Null]])</f>
        <v>reader["0"] != DBNull.Value ? (reader["0"]) : null</v>
      </c>
      <c r="U29" s="19" t="str">
        <f>ValueObject[[#This Row],[DBテーブル_物理名]]&amp;" = @"&amp;ValueObject[[#This Row],[DBテーブル_物理名]]</f>
        <v>0 = @0</v>
      </c>
      <c r="V29" s="19" t="str" cm="1">
        <f t="array" ref="V29">SUBSTITUTE(SUBSTITUTE(Templates[SQLiteParameter_Args],"__Column__",ValueObject[[#This Row],[DBテーブル_物理名]]),"__VO__",ValueObject[[#This Row],[Entity_プロパティ]])</f>
        <v>new SQLiteParameter("@0", entity..Value)</v>
      </c>
      <c r="W29" s="19" t="str" cm="1">
        <f t="array" ref="W29">SUBSTITUTE(SUBSTITUTE(Templates[ViewModelEntity_Property_get],"__Type__",ValueObject[[#This Row],[型]]),"__EntityProperty__",ValueObject[[#This Row],[Entity_プロパティ]])</f>
        <v xml:space="preserve">        public   =&gt; _entity..Value;</v>
      </c>
      <c r="X29" s="19" t="str" cm="1">
        <f t="array" ref="X29">SUBSTITUTE(SUBSTITUTE(Templates[ViewModelEntity_Property_getset],"__Type__",ValueObject[[#This Row],[型]]),"__EntityProperty__",ValueObject[[#This Row],[Entity_プロパティ]])</f>
        <v xml:space="preserve">       public   
        {
            get { return _entity..Value; }
            set { _entity. = new (value); }
        }</v>
      </c>
      <c r="Y29" s="19" t="str" cm="1">
        <f t="array" ref="Y29">IF(ValueObject[[#This Row],[ValueObject]]="","",SUBSTITUTE(SUBSTITUTE(SUBSTITUTE(Templates[ValueObject],"__SN__",'1_インプット'!$D$3),"__VO__",ValueObject[[#This Row],[ValueObject]]),"__VOType__",ValueObject[[#This Row],[型]]))</f>
        <v/>
      </c>
    </row>
    <row r="30" spans="2:25" ht="20.05" customHeight="1">
      <c r="B30" s="20">
        <f>ROW(ValueObject[[#This Row],[VONo]])-3</f>
        <v>27</v>
      </c>
      <c r="C30" s="21" t="str">
        <f>_xlfn.XLOOKUP(ValueObject[[#This Row],[VONo]],InputValueObjects[VONo],InputValueObjects[Entity],"",0,1)</f>
        <v/>
      </c>
      <c r="D30" s="21" t="str">
        <f>_xlfn.XLOOKUP(ValueObject[[#This Row],[VONo]],InputValueObjects[VONo],InputValueObjects[ValueObject],"",0,1)</f>
        <v/>
      </c>
      <c r="E30" s="21">
        <f>_xlfn.XLOOKUP(ValueObject[[#This Row],[VONo]],InputValueObjects[VONo],InputValueObjects[DBカラム_物理名],"",0,1)</f>
        <v>0</v>
      </c>
      <c r="F30" s="19" t="str">
        <f>"@"&amp;ValueObject[[#This Row],[DBテーブル_物理名]]</f>
        <v>@0</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
      </c>
      <c r="J30" s="21" t="str">
        <f>_xlfn.XLOOKUP(ValueObject[[#This Row],[VONo]],InputValueObjects[VONo],InputValueObjects[Entity_プロパティ],"",0,1)</f>
        <v/>
      </c>
      <c r="K30" s="21" t="str">
        <f>REPLACE(ValueObject[[#This Row],[Entity_プロパティ]],1,1,LOWER(LEFT(ValueObject[[#This Row],[ValueObject]])))</f>
        <v/>
      </c>
      <c r="L30" s="21" t="str">
        <f>ValueObject[[#This Row],[型]]&amp;" "&amp;ValueObject[[#This Row],[変数_VO]]</f>
        <v xml:space="preserve"> </v>
      </c>
      <c r="M30" s="21" t="str">
        <f>ValueObject[[#This Row],[Entity_プロパティ]]&amp;" = new "&amp;ValueObject[[#This Row],[ValueObject]]&amp;"("&amp;ValueObject[[#This Row],[変数_VO]]&amp;");"</f>
        <v xml:space="preserve"> = new ();</v>
      </c>
      <c r="N30" s="21" t="str">
        <f>"public "&amp;ValueObject[[#This Row],[ValueObject]]&amp;" "&amp;ValueObject[[#This Row],[Entity_プロパティ]]&amp;" { get; }"</f>
        <v>public   { get; }</v>
      </c>
      <c r="O30" s="21" t="str">
        <f>_xlfn.XLOOKUP(SUBSTITUTE(ValueObject[[#This Row],[型]],"?",""),Types[型],Types[Convert],"",,1)</f>
        <v/>
      </c>
      <c r="P30" s="21" t="str">
        <f>_xlfn.XLOOKUP(SUBSTITUTE(ValueObject[[#This Row],[型]],"?",""),Types[型],Types[型_SQLite],"",0,1)</f>
        <v/>
      </c>
      <c r="Q30" s="21" t="str">
        <f>IF(ValueObject[[#This Row],[SQLite_型]]="","",ValueObject[[#This Row],[DBテーブル_物理名]]&amp;" "&amp;ValueObject[[#This Row],[SQLite_型]])</f>
        <v/>
      </c>
      <c r="R30" s="19" t="str" cm="1">
        <f t="array" ref="R30">SUBSTITUTE(SUBSTITUTE(Templates[Repository_Entity_Args_NotNull],"__Convert__",ValueObject[[#This Row],[Convert]]),"__TableColumn__",ValueObject[[#This Row],[DBテーブル_物理名]])</f>
        <v>(reader["0"])</v>
      </c>
      <c r="S30" s="19" t="str" cm="1">
        <f t="array" ref="S30">SUBSTITUTE(SUBSTITUTE(Templates[Repository_Entity_Args_Null],"__Convert__",ValueObject[[#This Row],[Convert]]),"__TableColumn__",ValueObject[[#This Row],[DBテーブル_物理名]])</f>
        <v>reader["0"] != DBNull.Value ? (reader["0"]) : null</v>
      </c>
      <c r="T30" s="19" t="str">
        <f>IF(ValueObject[[#This Row],[NotNull]]=1,ValueObject[[#This Row],[Repository_Entity_Args_NotNull]],ValueObject[[#This Row],[Repository_Entity_Args_Null]])</f>
        <v>reader["0"] != DBNull.Value ? (reader["0"]) : null</v>
      </c>
      <c r="U30" s="19" t="str">
        <f>ValueObject[[#This Row],[DBテーブル_物理名]]&amp;" = @"&amp;ValueObject[[#This Row],[DBテーブル_物理名]]</f>
        <v>0 = @0</v>
      </c>
      <c r="V30" s="19" t="str" cm="1">
        <f t="array" ref="V30">SUBSTITUTE(SUBSTITUTE(Templates[SQLiteParameter_Args],"__Column__",ValueObject[[#This Row],[DBテーブル_物理名]]),"__VO__",ValueObject[[#This Row],[Entity_プロパティ]])</f>
        <v>new SQLiteParameter("@0", entity..Value)</v>
      </c>
      <c r="W30" s="19" t="str" cm="1">
        <f t="array" ref="W30">SUBSTITUTE(SUBSTITUTE(Templates[ViewModelEntity_Property_get],"__Type__",ValueObject[[#This Row],[型]]),"__EntityProperty__",ValueObject[[#This Row],[Entity_プロパティ]])</f>
        <v xml:space="preserve">        public   =&gt; _entity..Value;</v>
      </c>
      <c r="X30" s="19" t="str" cm="1">
        <f t="array" ref="X30">SUBSTITUTE(SUBSTITUTE(Templates[ViewModelEntity_Property_getset],"__Type__",ValueObject[[#This Row],[型]]),"__EntityProperty__",ValueObject[[#This Row],[Entity_プロパティ]])</f>
        <v xml:space="preserve">       public   
        {
            get { return _entity..Value; }
            set { _entity. = new (value); }
        }</v>
      </c>
      <c r="Y30" s="19" t="str" cm="1">
        <f t="array" ref="Y30">IF(ValueObject[[#This Row],[ValueObject]]="","",SUBSTITUTE(SUBSTITUTE(SUBSTITUTE(Templates[ValueObject],"__SN__",'1_インプット'!$D$3),"__VO__",ValueObject[[#This Row],[ValueObject]]),"__VOType__",ValueObject[[#This Row],[型]]))</f>
        <v/>
      </c>
    </row>
    <row r="31" spans="2:25" ht="20.05" customHeight="1">
      <c r="B31" s="20">
        <f>ROW(ValueObject[[#This Row],[VONo]])-3</f>
        <v>28</v>
      </c>
      <c r="C31" s="21" t="str">
        <f>_xlfn.XLOOKUP(ValueObject[[#This Row],[VONo]],InputValueObjects[VONo],InputValueObjects[Entity],"",0,1)</f>
        <v/>
      </c>
      <c r="D31" s="21" t="str">
        <f>_xlfn.XLOOKUP(ValueObject[[#This Row],[VONo]],InputValueObjects[VONo],InputValueObjects[ValueObject],"",0,1)</f>
        <v/>
      </c>
      <c r="E31" s="21">
        <f>_xlfn.XLOOKUP(ValueObject[[#This Row],[VONo]],InputValueObjects[VONo],InputValueObjects[DBカラム_物理名],"",0,1)</f>
        <v>0</v>
      </c>
      <c r="F31" s="19" t="str">
        <f>"@"&amp;ValueObject[[#This Row],[DBテーブル_物理名]]</f>
        <v>@0</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
      </c>
      <c r="J31" s="21" t="str">
        <f>_xlfn.XLOOKUP(ValueObject[[#This Row],[VONo]],InputValueObjects[VONo],InputValueObjects[Entity_プロパティ],"",0,1)</f>
        <v/>
      </c>
      <c r="K31" s="21" t="str">
        <f>REPLACE(ValueObject[[#This Row],[Entity_プロパティ]],1,1,LOWER(LEFT(ValueObject[[#This Row],[ValueObject]])))</f>
        <v/>
      </c>
      <c r="L31" s="21" t="str">
        <f>ValueObject[[#This Row],[型]]&amp;" "&amp;ValueObject[[#This Row],[変数_VO]]</f>
        <v xml:space="preserve"> </v>
      </c>
      <c r="M31" s="21" t="str">
        <f>ValueObject[[#This Row],[Entity_プロパティ]]&amp;" = new "&amp;ValueObject[[#This Row],[ValueObject]]&amp;"("&amp;ValueObject[[#This Row],[変数_VO]]&amp;");"</f>
        <v xml:space="preserve"> = new ();</v>
      </c>
      <c r="N31" s="21" t="str">
        <f>"public "&amp;ValueObject[[#This Row],[ValueObject]]&amp;" "&amp;ValueObject[[#This Row],[Entity_プロパティ]]&amp;" { get; }"</f>
        <v>public   { get; }</v>
      </c>
      <c r="O31" s="21" t="str">
        <f>_xlfn.XLOOKUP(SUBSTITUTE(ValueObject[[#This Row],[型]],"?",""),Types[型],Types[Convert],"",,1)</f>
        <v/>
      </c>
      <c r="P31" s="21" t="str">
        <f>_xlfn.XLOOKUP(SUBSTITUTE(ValueObject[[#This Row],[型]],"?",""),Types[型],Types[型_SQLite],"",0,1)</f>
        <v/>
      </c>
      <c r="Q31" s="21" t="str">
        <f>IF(ValueObject[[#This Row],[SQLite_型]]="","",ValueObject[[#This Row],[DBテーブル_物理名]]&amp;" "&amp;ValueObject[[#This Row],[SQLite_型]])</f>
        <v/>
      </c>
      <c r="R31" s="19" t="str" cm="1">
        <f t="array" ref="R31">SUBSTITUTE(SUBSTITUTE(Templates[Repository_Entity_Args_NotNull],"__Convert__",ValueObject[[#This Row],[Convert]]),"__TableColumn__",ValueObject[[#This Row],[DBテーブル_物理名]])</f>
        <v>(reader["0"])</v>
      </c>
      <c r="S31" s="19" t="str" cm="1">
        <f t="array" ref="S31">SUBSTITUTE(SUBSTITUTE(Templates[Repository_Entity_Args_Null],"__Convert__",ValueObject[[#This Row],[Convert]]),"__TableColumn__",ValueObject[[#This Row],[DBテーブル_物理名]])</f>
        <v>reader["0"] != DBNull.Value ? (reader["0"]) : null</v>
      </c>
      <c r="T31" s="19" t="str">
        <f>IF(ValueObject[[#This Row],[NotNull]]=1,ValueObject[[#This Row],[Repository_Entity_Args_NotNull]],ValueObject[[#This Row],[Repository_Entity_Args_Null]])</f>
        <v>reader["0"] != DBNull.Value ? (reader["0"]) : null</v>
      </c>
      <c r="U31" s="19" t="str">
        <f>ValueObject[[#This Row],[DBテーブル_物理名]]&amp;" = @"&amp;ValueObject[[#This Row],[DBテーブル_物理名]]</f>
        <v>0 = @0</v>
      </c>
      <c r="V31" s="19" t="str" cm="1">
        <f t="array" ref="V31">SUBSTITUTE(SUBSTITUTE(Templates[SQLiteParameter_Args],"__Column__",ValueObject[[#This Row],[DBテーブル_物理名]]),"__VO__",ValueObject[[#This Row],[Entity_プロパティ]])</f>
        <v>new SQLiteParameter("@0", entity..Value)</v>
      </c>
      <c r="W31" s="19" t="str" cm="1">
        <f t="array" ref="W31">SUBSTITUTE(SUBSTITUTE(Templates[ViewModelEntity_Property_get],"__Type__",ValueObject[[#This Row],[型]]),"__EntityProperty__",ValueObject[[#This Row],[Entity_プロパティ]])</f>
        <v xml:space="preserve">        public   =&gt; _entity..Value;</v>
      </c>
      <c r="X31" s="19" t="str" cm="1">
        <f t="array" ref="X31">SUBSTITUTE(SUBSTITUTE(Templates[ViewModelEntity_Property_getset],"__Type__",ValueObject[[#This Row],[型]]),"__EntityProperty__",ValueObject[[#This Row],[Entity_プロパティ]])</f>
        <v xml:space="preserve">       public   
        {
            get { return _entity..Value; }
            set { _entity. = new (value); }
        }</v>
      </c>
      <c r="Y31" s="19" t="str" cm="1">
        <f t="array" ref="Y31">IF(ValueObject[[#This Row],[ValueObject]]="","",SUBSTITUTE(SUBSTITUTE(SUBSTITUTE(Templates[ValueObject],"__SN__",'1_インプット'!$D$3),"__VO__",ValueObject[[#This Row],[ValueObject]]),"__VOType__",ValueObject[[#This Row],[型]]))</f>
        <v/>
      </c>
    </row>
    <row r="32" spans="2:25" ht="20.05" customHeight="1">
      <c r="B32" s="20">
        <f>ROW(ValueObject[[#This Row],[VONo]])-3</f>
        <v>29</v>
      </c>
      <c r="C32" s="21" t="str">
        <f>_xlfn.XLOOKUP(ValueObject[[#This Row],[VONo]],InputValueObjects[VONo],InputValueObjects[Entity],"",0,1)</f>
        <v/>
      </c>
      <c r="D32" s="21" t="str">
        <f>_xlfn.XLOOKUP(ValueObject[[#This Row],[VONo]],InputValueObjects[VONo],InputValueObjects[ValueObject],"",0,1)</f>
        <v/>
      </c>
      <c r="E32" s="21">
        <f>_xlfn.XLOOKUP(ValueObject[[#This Row],[VONo]],InputValueObjects[VONo],InputValueObjects[DBカラム_物理名],"",0,1)</f>
        <v>0</v>
      </c>
      <c r="F32" s="19" t="str">
        <f>"@"&amp;ValueObject[[#This Row],[DBテーブル_物理名]]</f>
        <v>@0</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
      </c>
      <c r="J32" s="21" t="str">
        <f>_xlfn.XLOOKUP(ValueObject[[#This Row],[VONo]],InputValueObjects[VONo],InputValueObjects[Entity_プロパティ],"",0,1)</f>
        <v/>
      </c>
      <c r="K32" s="21" t="str">
        <f>REPLACE(ValueObject[[#This Row],[Entity_プロパティ]],1,1,LOWER(LEFT(ValueObject[[#This Row],[ValueObject]])))</f>
        <v/>
      </c>
      <c r="L32" s="21" t="str">
        <f>ValueObject[[#This Row],[型]]&amp;" "&amp;ValueObject[[#This Row],[変数_VO]]</f>
        <v xml:space="preserve"> </v>
      </c>
      <c r="M32" s="21" t="str">
        <f>ValueObject[[#This Row],[Entity_プロパティ]]&amp;" = new "&amp;ValueObject[[#This Row],[ValueObject]]&amp;"("&amp;ValueObject[[#This Row],[変数_VO]]&amp;");"</f>
        <v xml:space="preserve"> = new ();</v>
      </c>
      <c r="N32" s="21" t="str">
        <f>"public "&amp;ValueObject[[#This Row],[ValueObject]]&amp;" "&amp;ValueObject[[#This Row],[Entity_プロパティ]]&amp;" { get; }"</f>
        <v>public   { get; }</v>
      </c>
      <c r="O32" s="21" t="str">
        <f>_xlfn.XLOOKUP(SUBSTITUTE(ValueObject[[#This Row],[型]],"?",""),Types[型],Types[Convert],"",,1)</f>
        <v/>
      </c>
      <c r="P32" s="21" t="str">
        <f>_xlfn.XLOOKUP(SUBSTITUTE(ValueObject[[#This Row],[型]],"?",""),Types[型],Types[型_SQLite],"",0,1)</f>
        <v/>
      </c>
      <c r="Q32" s="21" t="str">
        <f>IF(ValueObject[[#This Row],[SQLite_型]]="","",ValueObject[[#This Row],[DBテーブル_物理名]]&amp;" "&amp;ValueObject[[#This Row],[SQLite_型]])</f>
        <v/>
      </c>
      <c r="R32" s="19" t="str" cm="1">
        <f t="array" ref="R32">SUBSTITUTE(SUBSTITUTE(Templates[Repository_Entity_Args_NotNull],"__Convert__",ValueObject[[#This Row],[Convert]]),"__TableColumn__",ValueObject[[#This Row],[DBテーブル_物理名]])</f>
        <v>(reader["0"])</v>
      </c>
      <c r="S32" s="19" t="str" cm="1">
        <f t="array" ref="S32">SUBSTITUTE(SUBSTITUTE(Templates[Repository_Entity_Args_Null],"__Convert__",ValueObject[[#This Row],[Convert]]),"__TableColumn__",ValueObject[[#This Row],[DBテーブル_物理名]])</f>
        <v>reader["0"] != DBNull.Value ? (reader["0"]) : null</v>
      </c>
      <c r="T32" s="19" t="str">
        <f>IF(ValueObject[[#This Row],[NotNull]]=1,ValueObject[[#This Row],[Repository_Entity_Args_NotNull]],ValueObject[[#This Row],[Repository_Entity_Args_Null]])</f>
        <v>reader["0"] != DBNull.Value ? (reader["0"]) : null</v>
      </c>
      <c r="U32" s="19" t="str">
        <f>ValueObject[[#This Row],[DBテーブル_物理名]]&amp;" = @"&amp;ValueObject[[#This Row],[DBテーブル_物理名]]</f>
        <v>0 = @0</v>
      </c>
      <c r="V32" s="19" t="str" cm="1">
        <f t="array" ref="V32">SUBSTITUTE(SUBSTITUTE(Templates[SQLiteParameter_Args],"__Column__",ValueObject[[#This Row],[DBテーブル_物理名]]),"__VO__",ValueObject[[#This Row],[Entity_プロパティ]])</f>
        <v>new SQLiteParameter("@0", entity..Value)</v>
      </c>
      <c r="W32" s="19" t="str" cm="1">
        <f t="array" ref="W32">SUBSTITUTE(SUBSTITUTE(Templates[ViewModelEntity_Property_get],"__Type__",ValueObject[[#This Row],[型]]),"__EntityProperty__",ValueObject[[#This Row],[Entity_プロパティ]])</f>
        <v xml:space="preserve">        public   =&gt; _entity..Value;</v>
      </c>
      <c r="X32" s="19" t="str" cm="1">
        <f t="array" ref="X32">SUBSTITUTE(SUBSTITUTE(Templates[ViewModelEntity_Property_getset],"__Type__",ValueObject[[#This Row],[型]]),"__EntityProperty__",ValueObject[[#This Row],[Entity_プロパティ]])</f>
        <v xml:space="preserve">       public   
        {
            get { return _entity..Value; }
            set { _entity. = new (value); }
        }</v>
      </c>
      <c r="Y32" s="19" t="str" cm="1">
        <f t="array" ref="Y32">IF(ValueObject[[#This Row],[ValueObject]]="","",SUBSTITUTE(SUBSTITUTE(SUBSTITUTE(Templates[ValueObject],"__SN__",'1_インプット'!$D$3),"__VO__",ValueObject[[#This Row],[ValueObject]]),"__VOType__",ValueObject[[#This Row],[型]]))</f>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_entity..Value;</v>
      </c>
      <c r="X33" s="19" t="str" cm="1">
        <f t="array" ref="X33">SUBSTITUTE(SUBSTITUTE(Templates[ViewModelEntity_Property_getset],"__Type__",ValueObject[[#This Row],[型]]),"__EntityProperty__",ValueObject[[#This Row],[Entity_プロパティ]])</f>
        <v xml:space="preserve">       public   
        {
            get { return _entity..Value; }
            set { _entity.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_entity..Value;</v>
      </c>
      <c r="X34" s="19" t="str" cm="1">
        <f t="array" ref="X34">SUBSTITUTE(SUBSTITUTE(Templates[ViewModelEntity_Property_getset],"__Type__",ValueObject[[#This Row],[型]]),"__EntityProperty__",ValueObject[[#This Row],[Entity_プロパティ]])</f>
        <v xml:space="preserve">       public   
        {
            get { return _entity..Value; }
            set { _entity.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_entity..Value;</v>
      </c>
      <c r="X35" s="19" t="str" cm="1">
        <f t="array" ref="X35">SUBSTITUTE(SUBSTITUTE(Templates[ViewModelEntity_Property_getset],"__Type__",ValueObject[[#This Row],[型]]),"__EntityProperty__",ValueObject[[#This Row],[Entity_プロパティ]])</f>
        <v xml:space="preserve">       public   
        {
            get { return _entity..Value; }
            set { _entity.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_entity..Value;</v>
      </c>
      <c r="X36" s="19" t="str" cm="1">
        <f t="array" ref="X36">SUBSTITUTE(SUBSTITUTE(Templates[ViewModelEntity_Property_getset],"__Type__",ValueObject[[#This Row],[型]]),"__EntityProperty__",ValueObject[[#This Row],[Entity_プロパティ]])</f>
        <v xml:space="preserve">       public   
        {
            get { return _entity..Value; }
            set { _entity.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_entity..Value;</v>
      </c>
      <c r="X37" s="19" t="str" cm="1">
        <f t="array" ref="X37">SUBSTITUTE(SUBSTITUTE(Templates[ViewModelEntity_Property_getset],"__Type__",ValueObject[[#This Row],[型]]),"__EntityProperty__",ValueObject[[#This Row],[Entity_プロパティ]])</f>
        <v xml:space="preserve">       public   
        {
            get { return _entity..Value; }
            set { _entity.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_entity..Value;</v>
      </c>
      <c r="X38" s="19" t="str" cm="1">
        <f t="array" ref="X38">SUBSTITUTE(SUBSTITUTE(Templates[ViewModelEntity_Property_getset],"__Type__",ValueObject[[#This Row],[型]]),"__EntityProperty__",ValueObject[[#This Row],[Entity_プロパティ]])</f>
        <v xml:space="preserve">       public   
        {
            get { return _entity..Value; }
            set { _entity.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_entity..Value;</v>
      </c>
      <c r="X39" s="19" t="str" cm="1">
        <f t="array" ref="X39">SUBSTITUTE(SUBSTITUTE(Templates[ViewModelEntity_Property_getset],"__Type__",ValueObject[[#This Row],[型]]),"__EntityProperty__",ValueObject[[#This Row],[Entity_プロパティ]])</f>
        <v xml:space="preserve">       public   
        {
            get { return _entity..Value; }
            set { _entity.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_entity..Value;</v>
      </c>
      <c r="X40" s="19" t="str" cm="1">
        <f t="array" ref="X40">SUBSTITUTE(SUBSTITUTE(Templates[ViewModelEntity_Property_getset],"__Type__",ValueObject[[#This Row],[型]]),"__EntityProperty__",ValueObject[[#This Row],[Entity_プロパティ]])</f>
        <v xml:space="preserve">       public   
        {
            get { return _entity..Value; }
            set { _entity.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_entity..Value;</v>
      </c>
      <c r="X41" s="19" t="str" cm="1">
        <f t="array" ref="X41">SUBSTITUTE(SUBSTITUTE(Templates[ViewModelEntity_Property_getset],"__Type__",ValueObject[[#This Row],[型]]),"__EntityProperty__",ValueObject[[#This Row],[Entity_プロパティ]])</f>
        <v xml:space="preserve">       public   
        {
            get { return _entity..Value; }
            set { _entity.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_entity..Value;</v>
      </c>
      <c r="X42" s="19" t="str" cm="1">
        <f t="array" ref="X42">SUBSTITUTE(SUBSTITUTE(Templates[ViewModelEntity_Property_getset],"__Type__",ValueObject[[#This Row],[型]]),"__EntityProperty__",ValueObject[[#This Row],[Entity_プロパティ]])</f>
        <v xml:space="preserve">       public   
        {
            get { return _entity..Value; }
            set { _entity.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_entity..Value;</v>
      </c>
      <c r="X43" s="19" t="str" cm="1">
        <f t="array" ref="X43">SUBSTITUTE(SUBSTITUTE(Templates[ViewModelEntity_Property_getset],"__Type__",ValueObject[[#This Row],[型]]),"__EntityProperty__",ValueObject[[#This Row],[Entity_プロパティ]])</f>
        <v xml:space="preserve">       public   
        {
            get { return _entity..Value; }
            set { _entity.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_entity..Value;</v>
      </c>
      <c r="X44" s="19" t="str" cm="1">
        <f t="array" ref="X44">SUBSTITUTE(SUBSTITUTE(Templates[ViewModelEntity_Property_getset],"__Type__",ValueObject[[#This Row],[型]]),"__EntityProperty__",ValueObject[[#This Row],[Entity_プロパティ]])</f>
        <v xml:space="preserve">       public   
        {
            get { return _entity..Value; }
            set { _entity.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_entity..Value;</v>
      </c>
      <c r="X45" s="19" t="str" cm="1">
        <f t="array" ref="X45">SUBSTITUTE(SUBSTITUTE(Templates[ViewModelEntity_Property_getset],"__Type__",ValueObject[[#This Row],[型]]),"__EntityProperty__",ValueObject[[#This Row],[Entity_プロパティ]])</f>
        <v xml:space="preserve">       public   
        {
            get { return _entity..Value; }
            set { _entity.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_entity..Value;</v>
      </c>
      <c r="X46" s="19" t="str" cm="1">
        <f t="array" ref="X46">SUBSTITUTE(SUBSTITUTE(Templates[ViewModelEntity_Property_getset],"__Type__",ValueObject[[#This Row],[型]]),"__EntityProperty__",ValueObject[[#This Row],[Entity_プロパティ]])</f>
        <v xml:space="preserve">       public   
        {
            get { return _entity..Value; }
            set { _entity.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_entity..Value;</v>
      </c>
      <c r="X47" s="19" t="str" cm="1">
        <f t="array" ref="X47">SUBSTITUTE(SUBSTITUTE(Templates[ViewModelEntity_Property_getset],"__Type__",ValueObject[[#This Row],[型]]),"__EntityProperty__",ValueObject[[#This Row],[Entity_プロパティ]])</f>
        <v xml:space="preserve">       public   
        {
            get { return _entity..Value; }
            set { _entity.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_entity..Value;</v>
      </c>
      <c r="X48" s="19" t="str" cm="1">
        <f t="array" ref="X48">SUBSTITUTE(SUBSTITUTE(Templates[ViewModelEntity_Property_getset],"__Type__",ValueObject[[#This Row],[型]]),"__EntityProperty__",ValueObject[[#This Row],[Entity_プロパティ]])</f>
        <v xml:space="preserve">       public   
        {
            get { return _entity..Value; }
            set { _entity.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_entity..Value;</v>
      </c>
      <c r="X49" s="19" t="str" cm="1">
        <f t="array" ref="X49">SUBSTITUTE(SUBSTITUTE(Templates[ViewModelEntity_Property_getset],"__Type__",ValueObject[[#This Row],[型]]),"__EntityProperty__",ValueObject[[#This Row],[Entity_プロパティ]])</f>
        <v xml:space="preserve">       public   
        {
            get { return _entity..Value; }
            set { _entity.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_entity..Value;</v>
      </c>
      <c r="X50" s="19" t="str" cm="1">
        <f t="array" ref="X50">SUBSTITUTE(SUBSTITUTE(Templates[ViewModelEntity_Property_getset],"__Type__",ValueObject[[#This Row],[型]]),"__EntityProperty__",ValueObject[[#This Row],[Entity_プロパティ]])</f>
        <v xml:space="preserve">       public   
        {
            get { return _entity..Value; }
            set { _entity.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_entity..Value;</v>
      </c>
      <c r="X51" s="19" t="str" cm="1">
        <f t="array" ref="X51">SUBSTITUTE(SUBSTITUTE(Templates[ViewModelEntity_Property_getset],"__Type__",ValueObject[[#This Row],[型]]),"__EntityProperty__",ValueObject[[#This Row],[Entity_プロパティ]])</f>
        <v xml:space="preserve">       public   
        {
            get { return _entity..Value; }
            set { _entity.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_entity..Value;</v>
      </c>
      <c r="X52" s="19" t="str" cm="1">
        <f t="array" ref="X52">SUBSTITUTE(SUBSTITUTE(Templates[ViewModelEntity_Property_getset],"__Type__",ValueObject[[#This Row],[型]]),"__EntityProperty__",ValueObject[[#This Row],[Entity_プロパティ]])</f>
        <v xml:space="preserve">       public   
        {
            get { return _entity..Value; }
            set { _entity.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_entity..Value;</v>
      </c>
      <c r="X53" s="19" t="str" cm="1">
        <f t="array" ref="X53">SUBSTITUTE(SUBSTITUTE(Templates[ViewModelEntity_Property_getset],"__Type__",ValueObject[[#This Row],[型]]),"__EntityProperty__",ValueObject[[#This Row],[Entity_プロパティ]])</f>
        <v xml:space="preserve">       public   
        {
            get { return _entity..Value; }
            set { _entity.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_entity..Value;</v>
      </c>
      <c r="X54" s="19" t="str" cm="1">
        <f t="array" ref="X54">SUBSTITUTE(SUBSTITUTE(Templates[ViewModelEntity_Property_getset],"__Type__",ValueObject[[#This Row],[型]]),"__EntityProperty__",ValueObject[[#This Row],[Entity_プロパティ]])</f>
        <v xml:space="preserve">       public   
        {
            get { return _entity..Value; }
            set { _entity.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_entity..Value;</v>
      </c>
      <c r="X55" s="19" t="str" cm="1">
        <f t="array" ref="X55">SUBSTITUTE(SUBSTITUTE(Templates[ViewModelEntity_Property_getset],"__Type__",ValueObject[[#This Row],[型]]),"__EntityProperty__",ValueObject[[#This Row],[Entity_プロパティ]])</f>
        <v xml:space="preserve">       public   
        {
            get { return _entity..Value; }
            set { _entity.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_entity..Value;</v>
      </c>
      <c r="X56" s="19" t="str" cm="1">
        <f t="array" ref="X56">SUBSTITUTE(SUBSTITUTE(Templates[ViewModelEntity_Property_getset],"__Type__",ValueObject[[#This Row],[型]]),"__EntityProperty__",ValueObject[[#This Row],[Entity_プロパティ]])</f>
        <v xml:space="preserve">       public   
        {
            get { return _entity..Value; }
            set { _entity.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_entity..Value;</v>
      </c>
      <c r="X57" s="19" t="str" cm="1">
        <f t="array" ref="X57">SUBSTITUTE(SUBSTITUTE(Templates[ViewModelEntity_Property_getset],"__Type__",ValueObject[[#This Row],[型]]),"__EntityProperty__",ValueObject[[#This Row],[Entity_プロパティ]])</f>
        <v xml:space="preserve">       public   
        {
            get { return _entity..Value; }
            set { _entity.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_entity..Value;</v>
      </c>
      <c r="X58" s="19" t="str" cm="1">
        <f t="array" ref="X58">SUBSTITUTE(SUBSTITUTE(Templates[ViewModelEntity_Property_getset],"__Type__",ValueObject[[#This Row],[型]]),"__EntityProperty__",ValueObject[[#This Row],[Entity_プロパティ]])</f>
        <v xml:space="preserve">       public   
        {
            get { return _entity..Value; }
            set { _entity.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_entity..Value;</v>
      </c>
      <c r="X59" s="19" t="str" cm="1">
        <f t="array" ref="X59">SUBSTITUTE(SUBSTITUTE(Templates[ViewModelEntity_Property_getset],"__Type__",ValueObject[[#This Row],[型]]),"__EntityProperty__",ValueObject[[#This Row],[Entity_プロパティ]])</f>
        <v xml:space="preserve">       public   
        {
            get { return _entity..Value; }
            set { _entity.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_entity..Value;</v>
      </c>
      <c r="X60" s="19" t="str" cm="1">
        <f t="array" ref="X60">SUBSTITUTE(SUBSTITUTE(Templates[ViewModelEntity_Property_getset],"__Type__",ValueObject[[#This Row],[型]]),"__EntityProperty__",ValueObject[[#This Row],[Entity_プロパティ]])</f>
        <v xml:space="preserve">       public   
        {
            get { return _entity..Value; }
            set { _entity.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_entity..Value;</v>
      </c>
      <c r="X61" s="19" t="str" cm="1">
        <f t="array" ref="X61">SUBSTITUTE(SUBSTITUTE(Templates[ViewModelEntity_Property_getset],"__Type__",ValueObject[[#This Row],[型]]),"__EntityProperty__",ValueObject[[#This Row],[Entity_プロパティ]])</f>
        <v xml:space="preserve">       public   
        {
            get { return _entity..Value; }
            set { _entity.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_entity..Value;</v>
      </c>
      <c r="X62" s="19" t="str" cm="1">
        <f t="array" ref="X62">SUBSTITUTE(SUBSTITUTE(Templates[ViewModelEntity_Property_getset],"__Type__",ValueObject[[#This Row],[型]]),"__EntityProperty__",ValueObject[[#This Row],[Entity_プロパティ]])</f>
        <v xml:space="preserve">       public   
        {
            get { return _entity..Value; }
            set { _entity.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_entity..Value;</v>
      </c>
      <c r="X63" s="19" t="str" cm="1">
        <f t="array" ref="X63">SUBSTITUTE(SUBSTITUTE(Templates[ViewModelEntity_Property_getset],"__Type__",ValueObject[[#This Row],[型]]),"__EntityProperty__",ValueObject[[#This Row],[Entity_プロパティ]])</f>
        <v xml:space="preserve">       public   
        {
            get { return _entity..Value; }
            set { _entity.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_entity..Value;</v>
      </c>
      <c r="X64" s="19" t="str" cm="1">
        <f t="array" ref="X64">SUBSTITUTE(SUBSTITUTE(Templates[ViewModelEntity_Property_getset],"__Type__",ValueObject[[#This Row],[型]]),"__EntityProperty__",ValueObject[[#This Row],[Entity_プロパティ]])</f>
        <v xml:space="preserve">       public   
        {
            get { return _entity..Value; }
            set { _entity.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_entity..Value;</v>
      </c>
      <c r="X65" s="19" t="str" cm="1">
        <f t="array" ref="X65">SUBSTITUTE(SUBSTITUTE(Templates[ViewModelEntity_Property_getset],"__Type__",ValueObject[[#This Row],[型]]),"__EntityProperty__",ValueObject[[#This Row],[Entity_プロパティ]])</f>
        <v xml:space="preserve">       public   
        {
            get { return _entity..Value; }
            set { _entity.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_entity..Value;</v>
      </c>
      <c r="X66" s="19" t="str" cm="1">
        <f t="array" ref="X66">SUBSTITUTE(SUBSTITUTE(Templates[ViewModelEntity_Property_getset],"__Type__",ValueObject[[#This Row],[型]]),"__EntityProperty__",ValueObject[[#This Row],[Entity_プロパティ]])</f>
        <v xml:space="preserve">       public   
        {
            get { return _entity..Value; }
            set { _entity.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_entity..Value;</v>
      </c>
      <c r="X67" s="19" t="str" cm="1">
        <f t="array" ref="X67">SUBSTITUTE(SUBSTITUTE(Templates[ViewModelEntity_Property_getset],"__Type__",ValueObject[[#This Row],[型]]),"__EntityProperty__",ValueObject[[#This Row],[Entity_プロパティ]])</f>
        <v xml:space="preserve">       public   
        {
            get { return _entity..Value; }
            set { _entity.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_entity..Value;</v>
      </c>
      <c r="X68" s="19" t="str" cm="1">
        <f t="array" ref="X68">SUBSTITUTE(SUBSTITUTE(Templates[ViewModelEntity_Property_getset],"__Type__",ValueObject[[#This Row],[型]]),"__EntityProperty__",ValueObject[[#This Row],[Entity_プロパティ]])</f>
        <v xml:space="preserve">       public   
        {
            get { return _entity..Value; }
            set { _entity.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_entity..Value;</v>
      </c>
      <c r="X69" s="19" t="str" cm="1">
        <f t="array" ref="X69">SUBSTITUTE(SUBSTITUTE(Templates[ViewModelEntity_Property_getset],"__Type__",ValueObject[[#This Row],[型]]),"__EntityProperty__",ValueObject[[#This Row],[Entity_プロパティ]])</f>
        <v xml:space="preserve">       public   
        {
            get { return _entity..Value; }
            set { _entity.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_entity..Value;</v>
      </c>
      <c r="X70" s="19" t="str" cm="1">
        <f t="array" ref="X70">SUBSTITUTE(SUBSTITUTE(Templates[ViewModelEntity_Property_getset],"__Type__",ValueObject[[#This Row],[型]]),"__EntityProperty__",ValueObject[[#This Row],[Entity_プロパティ]])</f>
        <v xml:space="preserve">       public   
        {
            get { return _entity..Value; }
            set { _entity.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_entity..Value;</v>
      </c>
      <c r="X71" s="19" t="str" cm="1">
        <f t="array" ref="X71">SUBSTITUTE(SUBSTITUTE(Templates[ViewModelEntity_Property_getset],"__Type__",ValueObject[[#This Row],[型]]),"__EntityProperty__",ValueObject[[#This Row],[Entity_プロパティ]])</f>
        <v xml:space="preserve">       public   
        {
            get { return _entity..Value; }
            set { _entity.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_entity..Value;</v>
      </c>
      <c r="X72" s="19" t="str" cm="1">
        <f t="array" ref="X72">SUBSTITUTE(SUBSTITUTE(Templates[ViewModelEntity_Property_getset],"__Type__",ValueObject[[#This Row],[型]]),"__EntityProperty__",ValueObject[[#This Row],[Entity_プロパティ]])</f>
        <v xml:space="preserve">       public   
        {
            get { return _entity..Value; }
            set { _entity.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_entity..Value;</v>
      </c>
      <c r="X73" s="19" t="str" cm="1">
        <f t="array" ref="X73">SUBSTITUTE(SUBSTITUTE(Templates[ViewModelEntity_Property_getset],"__Type__",ValueObject[[#This Row],[型]]),"__EntityProperty__",ValueObject[[#This Row],[Entity_プロパティ]])</f>
        <v xml:space="preserve">       public   
        {
            get { return _entity..Value; }
            set { _entity.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_entity..Value;</v>
      </c>
      <c r="X74" s="19" t="str" cm="1">
        <f t="array" ref="X74">SUBSTITUTE(SUBSTITUTE(Templates[ViewModelEntity_Property_getset],"__Type__",ValueObject[[#This Row],[型]]),"__EntityProperty__",ValueObject[[#This Row],[Entity_プロパティ]])</f>
        <v xml:space="preserve">       public   
        {
            get { return _entity..Value; }
            set { _entity.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_entity..Value;</v>
      </c>
      <c r="X75" s="19" t="str" cm="1">
        <f t="array" ref="X75">SUBSTITUTE(SUBSTITUTE(Templates[ViewModelEntity_Property_getset],"__Type__",ValueObject[[#This Row],[型]]),"__EntityProperty__",ValueObject[[#This Row],[Entity_プロパティ]])</f>
        <v xml:space="preserve">       public   
        {
            get { return _entity..Value; }
            set { _entity.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_entity..Value;</v>
      </c>
      <c r="X76" s="19" t="str" cm="1">
        <f t="array" ref="X76">SUBSTITUTE(SUBSTITUTE(Templates[ViewModelEntity_Property_getset],"__Type__",ValueObject[[#This Row],[型]]),"__EntityProperty__",ValueObject[[#This Row],[Entity_プロパティ]])</f>
        <v xml:space="preserve">       public   
        {
            get { return _entity..Value; }
            set { _entity.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_entity..Value;</v>
      </c>
      <c r="X77" s="19" t="str" cm="1">
        <f t="array" ref="X77">SUBSTITUTE(SUBSTITUTE(Templates[ViewModelEntity_Property_getset],"__Type__",ValueObject[[#This Row],[型]]),"__EntityProperty__",ValueObject[[#This Row],[Entity_プロパティ]])</f>
        <v xml:space="preserve">       public   
        {
            get { return _entity..Value; }
            set { _entity.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_entity..Value;</v>
      </c>
      <c r="X78" s="19" t="str" cm="1">
        <f t="array" ref="X78">SUBSTITUTE(SUBSTITUTE(Templates[ViewModelEntity_Property_getset],"__Type__",ValueObject[[#This Row],[型]]),"__EntityProperty__",ValueObject[[#This Row],[Entity_プロパティ]])</f>
        <v xml:space="preserve">       public   
        {
            get { return _entity..Value; }
            set { _entity.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_entity..Value;</v>
      </c>
      <c r="X79" s="19" t="str" cm="1">
        <f t="array" ref="X79">SUBSTITUTE(SUBSTITUTE(Templates[ViewModelEntity_Property_getset],"__Type__",ValueObject[[#This Row],[型]]),"__EntityProperty__",ValueObject[[#This Row],[Entity_プロパティ]])</f>
        <v xml:space="preserve">       public   
        {
            get { return _entity..Value; }
            set { _entity.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_entity..Value;</v>
      </c>
      <c r="X80" s="19" t="str" cm="1">
        <f t="array" ref="X80">SUBSTITUTE(SUBSTITUTE(Templates[ViewModelEntity_Property_getset],"__Type__",ValueObject[[#This Row],[型]]),"__EntityProperty__",ValueObject[[#This Row],[Entity_プロパティ]])</f>
        <v xml:space="preserve">       public   
        {
            get { return _entity..Value; }
            set { _entity.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_entity..Value;</v>
      </c>
      <c r="X81" s="19" t="str" cm="1">
        <f t="array" ref="X81">SUBSTITUTE(SUBSTITUTE(Templates[ViewModelEntity_Property_getset],"__Type__",ValueObject[[#This Row],[型]]),"__EntityProperty__",ValueObject[[#This Row],[Entity_プロパティ]])</f>
        <v xml:space="preserve">       public   
        {
            get { return _entity..Value; }
            set { _entity.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_entity..Value;</v>
      </c>
      <c r="X82" s="19" t="str" cm="1">
        <f t="array" ref="X82">SUBSTITUTE(SUBSTITUTE(Templates[ViewModelEntity_Property_getset],"__Type__",ValueObject[[#This Row],[型]]),"__EntityProperty__",ValueObject[[#This Row],[Entity_プロパティ]])</f>
        <v xml:space="preserve">       public   
        {
            get { return _entity..Value; }
            set { _entity.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_entity..Value;</v>
      </c>
      <c r="X83" s="19" t="str" cm="1">
        <f t="array" ref="X83">SUBSTITUTE(SUBSTITUTE(Templates[ViewModelEntity_Property_getset],"__Type__",ValueObject[[#This Row],[型]]),"__EntityProperty__",ValueObject[[#This Row],[Entity_プロパティ]])</f>
        <v xml:space="preserve">       public   
        {
            get { return _entity..Value; }
            set { _entity.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_entity..Value;</v>
      </c>
      <c r="X84" s="19" t="str" cm="1">
        <f t="array" ref="X84">SUBSTITUTE(SUBSTITUTE(Templates[ViewModelEntity_Property_getset],"__Type__",ValueObject[[#This Row],[型]]),"__EntityProperty__",ValueObject[[#This Row],[Entity_プロパティ]])</f>
        <v xml:space="preserve">       public   
        {
            get { return _entity..Value; }
            set { _entity.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_entity..Value;</v>
      </c>
      <c r="X85" s="19" t="str" cm="1">
        <f t="array" ref="X85">SUBSTITUTE(SUBSTITUTE(Templates[ViewModelEntity_Property_getset],"__Type__",ValueObject[[#This Row],[型]]),"__EntityProperty__",ValueObject[[#This Row],[Entity_プロパティ]])</f>
        <v xml:space="preserve">       public   
        {
            get { return _entity..Value; }
            set { _entity.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_entity..Value;</v>
      </c>
      <c r="X86" s="19" t="str" cm="1">
        <f t="array" ref="X86">SUBSTITUTE(SUBSTITUTE(Templates[ViewModelEntity_Property_getset],"__Type__",ValueObject[[#This Row],[型]]),"__EntityProperty__",ValueObject[[#This Row],[Entity_プロパティ]])</f>
        <v xml:space="preserve">       public   
        {
            get { return _entity..Value; }
            set { _entity.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_entity..Value;</v>
      </c>
      <c r="X87" s="19" t="str" cm="1">
        <f t="array" ref="X87">SUBSTITUTE(SUBSTITUTE(Templates[ViewModelEntity_Property_getset],"__Type__",ValueObject[[#This Row],[型]]),"__EntityProperty__",ValueObject[[#This Row],[Entity_プロパティ]])</f>
        <v xml:space="preserve">       public   
        {
            get { return _entity..Value; }
            set { _entity.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_entity..Value;</v>
      </c>
      <c r="X88" s="19" t="str" cm="1">
        <f t="array" ref="X88">SUBSTITUTE(SUBSTITUTE(Templates[ViewModelEntity_Property_getset],"__Type__",ValueObject[[#This Row],[型]]),"__EntityProperty__",ValueObject[[#This Row],[Entity_プロパティ]])</f>
        <v xml:space="preserve">       public   
        {
            get { return _entity..Value; }
            set { _entity.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_entity..Value;</v>
      </c>
      <c r="X89" s="19" t="str" cm="1">
        <f t="array" ref="X89">SUBSTITUTE(SUBSTITUTE(Templates[ViewModelEntity_Property_getset],"__Type__",ValueObject[[#This Row],[型]]),"__EntityProperty__",ValueObject[[#This Row],[Entity_プロパティ]])</f>
        <v xml:space="preserve">       public   
        {
            get { return _entity..Value; }
            set { _entity.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_entity..Value;</v>
      </c>
      <c r="X90" s="19" t="str" cm="1">
        <f t="array" ref="X90">SUBSTITUTE(SUBSTITUTE(Templates[ViewModelEntity_Property_getset],"__Type__",ValueObject[[#This Row],[型]]),"__EntityProperty__",ValueObject[[#This Row],[Entity_プロパティ]])</f>
        <v xml:space="preserve">       public   
        {
            get { return _entity..Value; }
            set { _entity.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_entity..Value;</v>
      </c>
      <c r="X91" s="19" t="str" cm="1">
        <f t="array" ref="X91">SUBSTITUTE(SUBSTITUTE(Templates[ViewModelEntity_Property_getset],"__Type__",ValueObject[[#This Row],[型]]),"__EntityProperty__",ValueObject[[#This Row],[Entity_プロパティ]])</f>
        <v xml:space="preserve">       public   
        {
            get { return _entity..Value; }
            set { _entity.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_entity..Value;</v>
      </c>
      <c r="X92" s="19" t="str" cm="1">
        <f t="array" ref="X92">SUBSTITUTE(SUBSTITUTE(Templates[ViewModelEntity_Property_getset],"__Type__",ValueObject[[#This Row],[型]]),"__EntityProperty__",ValueObject[[#This Row],[Entity_プロパティ]])</f>
        <v xml:space="preserve">       public   
        {
            get { return _entity..Value; }
            set { _entity.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_entity..Value;</v>
      </c>
      <c r="X93" s="19" t="str" cm="1">
        <f t="array" ref="X93">SUBSTITUTE(SUBSTITUTE(Templates[ViewModelEntity_Property_getset],"__Type__",ValueObject[[#This Row],[型]]),"__EntityProperty__",ValueObject[[#This Row],[Entity_プロパティ]])</f>
        <v xml:space="preserve">       public   
        {
            get { return _entity..Value; }
            set { _entity.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_entity..Value;</v>
      </c>
      <c r="X94" s="19" t="str" cm="1">
        <f t="array" ref="X94">SUBSTITUTE(SUBSTITUTE(Templates[ViewModelEntity_Property_getset],"__Type__",ValueObject[[#This Row],[型]]),"__EntityProperty__",ValueObject[[#This Row],[Entity_プロパティ]])</f>
        <v xml:space="preserve">       public   
        {
            get { return _entity..Value; }
            set { _entity.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_entity..Value;</v>
      </c>
      <c r="X95" s="19" t="str" cm="1">
        <f t="array" ref="X95">SUBSTITUTE(SUBSTITUTE(Templates[ViewModelEntity_Property_getset],"__Type__",ValueObject[[#This Row],[型]]),"__EntityProperty__",ValueObject[[#This Row],[Entity_プロパティ]])</f>
        <v xml:space="preserve">       public   
        {
            get { return _entity..Value; }
            set { _entity.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_entity..Value;</v>
      </c>
      <c r="X96" s="19" t="str" cm="1">
        <f t="array" ref="X96">SUBSTITUTE(SUBSTITUTE(Templates[ViewModelEntity_Property_getset],"__Type__",ValueObject[[#This Row],[型]]),"__EntityProperty__",ValueObject[[#This Row],[Entity_プロパティ]])</f>
        <v xml:space="preserve">       public   
        {
            get { return _entity..Value; }
            set { _entity.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_entity..Value;</v>
      </c>
      <c r="X97" s="19" t="str" cm="1">
        <f t="array" ref="X97">SUBSTITUTE(SUBSTITUTE(Templates[ViewModelEntity_Property_getset],"__Type__",ValueObject[[#This Row],[型]]),"__EntityProperty__",ValueObject[[#This Row],[Entity_プロパティ]])</f>
        <v xml:space="preserve">       public   
        {
            get { return _entity..Value; }
            set { _entity.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_entity..Value;</v>
      </c>
      <c r="X98" s="19" t="str" cm="1">
        <f t="array" ref="X98">SUBSTITUTE(SUBSTITUTE(Templates[ViewModelEntity_Property_getset],"__Type__",ValueObject[[#This Row],[型]]),"__EntityProperty__",ValueObject[[#This Row],[Entity_プロパティ]])</f>
        <v xml:space="preserve">       public   
        {
            get { return _entity..Value; }
            set { _entity.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_entity..Value;</v>
      </c>
      <c r="X99" s="19" t="str" cm="1">
        <f t="array" ref="X99">SUBSTITUTE(SUBSTITUTE(Templates[ViewModelEntity_Property_getset],"__Type__",ValueObject[[#This Row],[型]]),"__EntityProperty__",ValueObject[[#This Row],[Entity_プロパティ]])</f>
        <v xml:space="preserve">       public   
        {
            get { return _entity..Value; }
            set { _entity.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_entity..Value;</v>
      </c>
      <c r="X100" s="19" t="str" cm="1">
        <f t="array" ref="X100">SUBSTITUTE(SUBSTITUTE(Templates[ViewModelEntity_Property_getset],"__Type__",ValueObject[[#This Row],[型]]),"__EntityProperty__",ValueObject[[#This Row],[Entity_プロパティ]])</f>
        <v xml:space="preserve">       public   
        {
            get { return _entity..Value; }
            set { _entity.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_entity..Value;</v>
      </c>
      <c r="X101" s="19" t="str" cm="1">
        <f t="array" ref="X101">SUBSTITUTE(SUBSTITUTE(Templates[ViewModelEntity_Property_getset],"__Type__",ValueObject[[#This Row],[型]]),"__EntityProperty__",ValueObject[[#This Row],[Entity_プロパティ]])</f>
        <v xml:space="preserve">       public   
        {
            get { return _entity..Value; }
            set { _entity.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_entity..Value;</v>
      </c>
      <c r="X102" s="19" t="str" cm="1">
        <f t="array" ref="X102">SUBSTITUTE(SUBSTITUTE(Templates[ViewModelEntity_Property_getset],"__Type__",ValueObject[[#This Row],[型]]),"__EntityProperty__",ValueObject[[#This Row],[Entity_プロパティ]])</f>
        <v xml:space="preserve">       public   
        {
            get { return _entity..Value; }
            set { _entity.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_entity..Value;</v>
      </c>
      <c r="X103" s="19" t="str" cm="1">
        <f t="array" ref="X103">SUBSTITUTE(SUBSTITUTE(Templates[ViewModelEntity_Property_getset],"__Type__",ValueObject[[#This Row],[型]]),"__EntityProperty__",ValueObject[[#This Row],[Entity_プロパティ]])</f>
        <v xml:space="preserve">       public   
        {
            get { return _entity..Value; }
            set { _entity.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_entity..Value;</v>
      </c>
      <c r="X104" s="19" t="str" cm="1">
        <f t="array" ref="X104">SUBSTITUTE(SUBSTITUTE(Templates[ViewModelEntity_Property_getset],"__Type__",ValueObject[[#This Row],[型]]),"__EntityProperty__",ValueObject[[#This Row],[Entity_プロパティ]])</f>
        <v xml:space="preserve">       public   
        {
            get { return _entity..Value; }
            set { _entity.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_entity..Value;</v>
      </c>
      <c r="X105" s="19" t="str" cm="1">
        <f t="array" ref="X105">SUBSTITUTE(SUBSTITUTE(Templates[ViewModelEntity_Property_getset],"__Type__",ValueObject[[#This Row],[型]]),"__EntityProperty__",ValueObject[[#This Row],[Entity_プロパティ]])</f>
        <v xml:space="preserve">       public   
        {
            get { return _entity..Value; }
            set { _entity.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_entity..Value;</v>
      </c>
      <c r="X106" s="19" t="str" cm="1">
        <f t="array" ref="X106">SUBSTITUTE(SUBSTITUTE(Templates[ViewModelEntity_Property_getset],"__Type__",ValueObject[[#This Row],[型]]),"__EntityProperty__",ValueObject[[#This Row],[Entity_プロパティ]])</f>
        <v xml:space="preserve">       public   
        {
            get { return _entity..Value; }
            set { _entity.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_entity..Value;</v>
      </c>
      <c r="X107" s="19" t="str" cm="1">
        <f t="array" ref="X107">SUBSTITUTE(SUBSTITUTE(Templates[ViewModelEntity_Property_getset],"__Type__",ValueObject[[#This Row],[型]]),"__EntityProperty__",ValueObject[[#This Row],[Entity_プロパティ]])</f>
        <v xml:space="preserve">       public   
        {
            get { return _entity..Value; }
            set { _entity.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_entity..Value;</v>
      </c>
      <c r="X108" s="19" t="str" cm="1">
        <f t="array" ref="X108">SUBSTITUTE(SUBSTITUTE(Templates[ViewModelEntity_Property_getset],"__Type__",ValueObject[[#This Row],[型]]),"__EntityProperty__",ValueObject[[#This Row],[Entity_プロパティ]])</f>
        <v xml:space="preserve">       public   
        {
            get { return _entity..Value; }
            set { _entity.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_entity..Value;</v>
      </c>
      <c r="X109" s="19" t="str" cm="1">
        <f t="array" ref="X109">SUBSTITUTE(SUBSTITUTE(Templates[ViewModelEntity_Property_getset],"__Type__",ValueObject[[#This Row],[型]]),"__EntityProperty__",ValueObject[[#This Row],[Entity_プロパティ]])</f>
        <v xml:space="preserve">       public   
        {
            get { return _entity..Value; }
            set { _entity.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_entity..Value;</v>
      </c>
      <c r="X110" s="19" t="str" cm="1">
        <f t="array" ref="X110">SUBSTITUTE(SUBSTITUTE(Templates[ViewModelEntity_Property_getset],"__Type__",ValueObject[[#This Row],[型]]),"__EntityProperty__",ValueObject[[#This Row],[Entity_プロパティ]])</f>
        <v xml:space="preserve">       public   
        {
            get { return _entity..Value; }
            set { _entity.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_entity..Value;</v>
      </c>
      <c r="X111" s="19" t="str" cm="1">
        <f t="array" ref="X111">SUBSTITUTE(SUBSTITUTE(Templates[ViewModelEntity_Property_getset],"__Type__",ValueObject[[#This Row],[型]]),"__EntityProperty__",ValueObject[[#This Row],[Entity_プロパティ]])</f>
        <v xml:space="preserve">       public   
        {
            get { return _entity..Value; }
            set { _entity.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_entity..Value;</v>
      </c>
      <c r="X112" s="19" t="str" cm="1">
        <f t="array" ref="X112">SUBSTITUTE(SUBSTITUTE(Templates[ViewModelEntity_Property_getset],"__Type__",ValueObject[[#This Row],[型]]),"__EntityProperty__",ValueObject[[#This Row],[Entity_プロパティ]])</f>
        <v xml:space="preserve">       public   
        {
            get { return _entity..Value; }
            set { _entity.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_entity..Value;</v>
      </c>
      <c r="X113" s="19" t="str" cm="1">
        <f t="array" ref="X113">SUBSTITUTE(SUBSTITUTE(Templates[ViewModelEntity_Property_getset],"__Type__",ValueObject[[#This Row],[型]]),"__EntityProperty__",ValueObject[[#This Row],[Entity_プロパティ]])</f>
        <v xml:space="preserve">       public   
        {
            get { return _entity..Value; }
            set { _entity.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_entity..Value;</v>
      </c>
      <c r="X114" s="19" t="str" cm="1">
        <f t="array" ref="X114">SUBSTITUTE(SUBSTITUTE(Templates[ViewModelEntity_Property_getset],"__Type__",ValueObject[[#This Row],[型]]),"__EntityProperty__",ValueObject[[#This Row],[Entity_プロパティ]])</f>
        <v xml:space="preserve">       public   
        {
            get { return _entity..Value; }
            set { _entity.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_entity..Value;</v>
      </c>
      <c r="X115" s="19" t="str" cm="1">
        <f t="array" ref="X115">SUBSTITUTE(SUBSTITUTE(Templates[ViewModelEntity_Property_getset],"__Type__",ValueObject[[#This Row],[型]]),"__EntityProperty__",ValueObject[[#This Row],[Entity_プロパティ]])</f>
        <v xml:space="preserve">       public   
        {
            get { return _entity..Value; }
            set { _entity.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_entity..Value;</v>
      </c>
      <c r="X116" s="19" t="str" cm="1">
        <f t="array" ref="X116">SUBSTITUTE(SUBSTITUTE(Templates[ViewModelEntity_Property_getset],"__Type__",ValueObject[[#This Row],[型]]),"__EntityProperty__",ValueObject[[#This Row],[Entity_プロパティ]])</f>
        <v xml:space="preserve">       public   
        {
            get { return _entity..Value; }
            set { _entity.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_entity..Value;</v>
      </c>
      <c r="X117" s="19" t="str" cm="1">
        <f t="array" ref="X117">SUBSTITUTE(SUBSTITUTE(Templates[ViewModelEntity_Property_getset],"__Type__",ValueObject[[#This Row],[型]]),"__EntityProperty__",ValueObject[[#This Row],[Entity_プロパティ]])</f>
        <v xml:space="preserve">       public   
        {
            get { return _entity..Value; }
            set { _entity.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_entity..Value;</v>
      </c>
      <c r="X118" s="19" t="str" cm="1">
        <f t="array" ref="X118">SUBSTITUTE(SUBSTITUTE(Templates[ViewModelEntity_Property_getset],"__Type__",ValueObject[[#This Row],[型]]),"__EntityProperty__",ValueObject[[#This Row],[Entity_プロパティ]])</f>
        <v xml:space="preserve">       public   
        {
            get { return _entity..Value; }
            set { _entity.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_entity..Value;</v>
      </c>
      <c r="X119" s="19" t="str" cm="1">
        <f t="array" ref="X119">SUBSTITUTE(SUBSTITUTE(Templates[ViewModelEntity_Property_getset],"__Type__",ValueObject[[#This Row],[型]]),"__EntityProperty__",ValueObject[[#This Row],[Entity_プロパティ]])</f>
        <v xml:space="preserve">       public   
        {
            get { return _entity..Value; }
            set { _entity.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_entity..Value;</v>
      </c>
      <c r="X120" s="19" t="str" cm="1">
        <f t="array" ref="X120">SUBSTITUTE(SUBSTITUTE(Templates[ViewModelEntity_Property_getset],"__Type__",ValueObject[[#This Row],[型]]),"__EntityProperty__",ValueObject[[#This Row],[Entity_プロパティ]])</f>
        <v xml:space="preserve">       public   
        {
            get { return _entity..Value; }
            set { _entity.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_entity..Value;</v>
      </c>
      <c r="X121" s="19" t="str" cm="1">
        <f t="array" ref="X121">SUBSTITUTE(SUBSTITUTE(Templates[ViewModelEntity_Property_getset],"__Type__",ValueObject[[#This Row],[型]]),"__EntityProperty__",ValueObject[[#This Row],[Entity_プロパティ]])</f>
        <v xml:space="preserve">       public   
        {
            get { return _entity..Value; }
            set { _entity.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_entity..Value;</v>
      </c>
      <c r="X122" s="19" t="str" cm="1">
        <f t="array" ref="X122">SUBSTITUTE(SUBSTITUTE(Templates[ViewModelEntity_Property_getset],"__Type__",ValueObject[[#This Row],[型]]),"__EntityProperty__",ValueObject[[#This Row],[Entity_プロパティ]])</f>
        <v xml:space="preserve">       public   
        {
            get { return _entity..Value; }
            set { _entity.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_entity..Value;</v>
      </c>
      <c r="X123" s="19" t="str" cm="1">
        <f t="array" ref="X123">SUBSTITUTE(SUBSTITUTE(Templates[ViewModelEntity_Property_getset],"__Type__",ValueObject[[#This Row],[型]]),"__EntityProperty__",ValueObject[[#This Row],[Entity_プロパティ]])</f>
        <v xml:space="preserve">       public   
        {
            get { return _entity..Value; }
            set { _entity.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_entity..Value;</v>
      </c>
      <c r="X124" s="19" t="str" cm="1">
        <f t="array" ref="X124">SUBSTITUTE(SUBSTITUTE(Templates[ViewModelEntity_Property_getset],"__Type__",ValueObject[[#This Row],[型]]),"__EntityProperty__",ValueObject[[#This Row],[Entity_プロパティ]])</f>
        <v xml:space="preserve">       public   
        {
            get { return _entity..Value; }
            set { _entity.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_entity..Value;</v>
      </c>
      <c r="X125" s="19" t="str" cm="1">
        <f t="array" ref="X125">SUBSTITUTE(SUBSTITUTE(Templates[ViewModelEntity_Property_getset],"__Type__",ValueObject[[#This Row],[型]]),"__EntityProperty__",ValueObject[[#This Row],[Entity_プロパティ]])</f>
        <v xml:space="preserve">       public   
        {
            get { return _entity..Value; }
            set { _entity.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_entity..Value;</v>
      </c>
      <c r="X126" s="19" t="str" cm="1">
        <f t="array" ref="X126">SUBSTITUTE(SUBSTITUTE(Templates[ViewModelEntity_Property_getset],"__Type__",ValueObject[[#This Row],[型]]),"__EntityProperty__",ValueObject[[#This Row],[Entity_プロパティ]])</f>
        <v xml:space="preserve">       public   
        {
            get { return _entity..Value; }
            set { _entity.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_entity..Value;</v>
      </c>
      <c r="X127" s="19" t="str" cm="1">
        <f t="array" ref="X127">SUBSTITUTE(SUBSTITUTE(Templates[ViewModelEntity_Property_getset],"__Type__",ValueObject[[#This Row],[型]]),"__EntityProperty__",ValueObject[[#This Row],[Entity_プロパティ]])</f>
        <v xml:space="preserve">       public   
        {
            get { return _entity..Value; }
            set { _entity.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_entity..Value;</v>
      </c>
      <c r="X128" s="19" t="str" cm="1">
        <f t="array" ref="X128">SUBSTITUTE(SUBSTITUTE(Templates[ViewModelEntity_Property_getset],"__Type__",ValueObject[[#This Row],[型]]),"__EntityProperty__",ValueObject[[#This Row],[Entity_プロパティ]])</f>
        <v xml:space="preserve">       public   
        {
            get { return _entity..Value; }
            set { _entity.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_entity..Value;</v>
      </c>
      <c r="X129" s="19" t="str" cm="1">
        <f t="array" ref="X129">SUBSTITUTE(SUBSTITUTE(Templates[ViewModelEntity_Property_getset],"__Type__",ValueObject[[#This Row],[型]]),"__EntityProperty__",ValueObject[[#This Row],[Entity_プロパティ]])</f>
        <v xml:space="preserve">       public   
        {
            get { return _entity..Value; }
            set { _entity.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_entity..Value;</v>
      </c>
      <c r="X130" s="19" t="str" cm="1">
        <f t="array" ref="X130">SUBSTITUTE(SUBSTITUTE(Templates[ViewModelEntity_Property_getset],"__Type__",ValueObject[[#This Row],[型]]),"__EntityProperty__",ValueObject[[#This Row],[Entity_プロパティ]])</f>
        <v xml:space="preserve">       public   
        {
            get { return _entity..Value; }
            set { _entity.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_entity..Value;</v>
      </c>
      <c r="X131" s="19" t="str" cm="1">
        <f t="array" ref="X131">SUBSTITUTE(SUBSTITUTE(Templates[ViewModelEntity_Property_getset],"__Type__",ValueObject[[#This Row],[型]]),"__EntityProperty__",ValueObject[[#This Row],[Entity_プロパティ]])</f>
        <v xml:space="preserve">       public   
        {
            get { return _entity..Value; }
            set { _entity.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_entity..Value;</v>
      </c>
      <c r="X132" s="19" t="str" cm="1">
        <f t="array" ref="X132">SUBSTITUTE(SUBSTITUTE(Templates[ViewModelEntity_Property_getset],"__Type__",ValueObject[[#This Row],[型]]),"__EntityProperty__",ValueObject[[#This Row],[Entity_プロパティ]])</f>
        <v xml:space="preserve">       public   
        {
            get { return _entity..Value; }
            set { _entity.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_entity..Value;</v>
      </c>
      <c r="X133" s="19" t="str" cm="1">
        <f t="array" ref="X133">SUBSTITUTE(SUBSTITUTE(Templates[ViewModelEntity_Property_getset],"__Type__",ValueObject[[#This Row],[型]]),"__EntityProperty__",ValueObject[[#This Row],[Entity_プロパティ]])</f>
        <v xml:space="preserve">       public   
        {
            get { return _entity..Value; }
            set { _entity.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WorkerMstEntity</v>
      </c>
      <c r="D5" s="19" t="str" cm="1">
        <f t="array" ref="D5">_xlfn.TEXTJOIN(","&amp;CHAR(10)&amp;REPT(CHAR(9),3),TRUE,_xlfn._xlws.FILTER(ValueObject[Entity_コンストラクタ引数],ValueObject[Entity]=Entity[[#This Row],[Entity]]))</f>
        <v>string workerCode,
			string workerName</v>
      </c>
      <c r="E5" s="19" t="str" cm="1">
        <f t="array" ref="E5">_xlfn.TEXTJOIN(CHAR(10)&amp;REPT(CHAR(9),3),TRUE,_xlfn._xlws.FILTER(ValueObject[Entity_コンストラクタ],ValueObject[Entity]=Entity[[#This Row],[Entity]]))</f>
        <v>WorkerCode = new WorkerCode(workerCode);
			WorkerName = new WorkerName(workerName);</v>
      </c>
      <c r="F5" s="19" t="str" cm="1">
        <f t="array" ref="F5">_xlfn.TEXTJOIN(CHAR(10),TRUE,_xlfn._xlws.FILTER(ValueObject[Entity_プロパティ_get],ValueObject[Entity]=Entity[[#This Row],[Entity]]))</f>
        <v>public WorkerCode WorkerCode { get; }
public WorkerName WorkerName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
            WorkerCode = new WorkerCode(workerCode);
			WorkerName = new WorkerName(workerName);
        }
        public WorkerCode WorkerCode { get; }
public WorkerName WorkerName { get; }
    }
}</v>
      </c>
    </row>
    <row r="6" spans="1:7" ht="19.75" customHeight="1">
      <c r="B6" s="20">
        <f>ROW(Entity[[#This Row],[ENo]])-3</f>
        <v>3</v>
      </c>
      <c r="C6" s="21" t="str">
        <f>_xlfn.XLOOKUP(Entity[[#This Row],[ENo]],InputEntities[ENo],InputEntities[Entity],"",0,1)</f>
        <v>WorkingTimePlanMstEntity</v>
      </c>
      <c r="D6" s="19" t="str" cm="1">
        <f t="array" ref="D6">_xlfn.TEXTJOIN(","&amp;CHAR(10)&amp;REPT(CHAR(9),3),TRUE,_xlfn._xlws.FILTER(ValueObject[Entity_コンストラクタ引数],ValueObject[Entity]=Entity[[#This Row],[Entity]]))</f>
        <v>string workerCode,
			int weekday,
			float? workingTime</v>
      </c>
      <c r="E6" s="19" t="str" cm="1">
        <f t="array" ref="E6">_xlfn.TEXTJOIN(CHAR(10)&amp;REPT(CHAR(9),3),TRUE,_xlfn._xlws.FILTER(ValueObject[Entity_コンストラクタ],ValueObject[Entity]=Entity[[#This Row],[Entity]]))</f>
        <v>WorkerCode = new WorkerCode(workerCode);
			Weekday = new Weekday(weekday);
			WorkingTime = new WorkingTime(workingTime);</v>
      </c>
      <c r="F6" s="19" t="str" cm="1">
        <f t="array" ref="F6">_xlfn.TEXTJOIN(CHAR(10),TRUE,_xlfn._xlws.FILTER(ValueObject[Entity_プロパティ_get],ValueObject[Entity]=Entity[[#This Row],[Entity]]))</f>
        <v>public WorkerCode WorkerCode { get; }
public Weekday Weekday { get; }
public WorkingTime WorkingTime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7" spans="1:7" ht="170.15" customHeight="1">
      <c r="B7" s="20">
        <f>ROW(Entity[[#This Row],[ENo]])-3</f>
        <v>4</v>
      </c>
      <c r="C7" s="21" t="str">
        <f>_xlfn.XLOOKUP(Entity[[#This Row],[ENo]],InputEntities[ENo],InputEntities[Entity],"",0,1)</f>
        <v>PageMstEntity</v>
      </c>
      <c r="D7" s="19" t="str" cm="1">
        <f t="array" ref="D7">_xlfn.TEXTJOIN(","&amp;CHAR(10)&amp;REPT(CHAR(9),3),TRUE,_xlfn._xlws.FILTER(ValueObject[Entity_コンストラクタ引数],ValueObject[Entity]=Entity[[#This Row],[Entity]]))</f>
        <v>int pageId,
			string pageName,
			string? movieLink,
			string? imageLink,
			int? imagePageNo,
			float slideWaitingTime,
			string? note1,
			string? note2,
			string? note3</v>
      </c>
      <c r="E7" s="19" t="str" cm="1">
        <f t="array" ref="E7">_xlfn.TEXTJOIN(CHAR(10)&amp;REPT(CHAR(9),3),TRUE,_xlfn._xlws.FILTER(ValueObject[Entity_コンストラクタ],ValueObject[Entity]=Entity[[#This Row],[Entity]]))</f>
        <v>PageId = new PageId(pageId);
			PageName = new PageName(pageName);
			MovieLink = new MovieLink(movieLink);
			ImageLink = new ImageLink(imageLink);
			ImagePageNo = new ImagePageNo(imagePageNo);
			SlideWaitingTime = new SlideWaitingTime(slideWaitingTime);
			Note1 = new Note(note1);
			Note2 = new Note(note2);
			Note3 = new Note(note3);</v>
      </c>
      <c r="F7" s="19" t="str" cm="1">
        <f t="array" ref="F7">_xlfn.TEXTJOIN(CHAR(10),TRUE,_xlfn._xlws.FILTER(ValueObject[Entity_プロパティ_get],ValueObject[Entity]=Entity[[#This Row],[Entity]]))</f>
        <v>public PageId PageId { get; }
public PageName PageName { get; }
public MovieLink MovieLink { get; }
public ImageLink ImageLink { get; }
public ImagePageNo ImagePageNo { get; }
public SlideWaitingTime SlideWaitingTime { get; }
public Note Note1 { get; }
public Note Note2 { get; }
public Note Note3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imageLink,
			int? imagePageNo,
			float slideWaitingTime,
			string? note1,
			string? note2,
			string? note3)
        {
            PageId = new PageId(pageId);
			PageName = new PageName(pageName);
			MovieLink = new MovieLink(movieLink);
			ImageLink = new ImageLink(imageLink);
			ImagePageNo = new ImagePageNo(imagePageNo);
			SlideWaitingTime = new SlideWaitingTime(slideWaitingTime);
			Note1 = new Note(note1);
			Note2 = new Note(note2);
			Note3 = new Note(note3);
        }
        public PageId PageId { get; }
public PageName PageName { get; }
public MovieLink MovieLink { get; }
public ImageLink ImageLink { get; }
public ImagePageNo ImagePageNo { get; }
public SlideWaitingTime SlideWaitingTime { get; }
public Note Note1 { get; }
public Note Note2 { get; }
public Note Note3 { get; }
    }
}</v>
      </c>
    </row>
    <row r="8" spans="1:7" ht="20.05" customHeight="1">
      <c r="B8" s="20">
        <f>ROW(Entity[[#This Row],[ENo]])-3</f>
        <v>5</v>
      </c>
      <c r="C8" s="21" t="str">
        <f>_xlfn.XLOOKUP(Entity[[#This Row],[ENo]],InputEntities[ENo],InputEntities[Entity],"",0,1)</f>
        <v/>
      </c>
      <c r="D8" s="19" t="str" cm="1">
        <f t="array" ref="D8">_xlfn.TEXTJOIN(","&amp;CHAR(10)&amp;REPT(CHAR(9),3),TRUE,_xlfn._xlws.FILTER(ValueObject[Entity_コンストラクタ引数],ValueObject[Entity]=Entity[[#This Row],[Entity]]))</f>
        <v xml:space="preserve"> ,
			 ,
			 ,
			 ,
			 ,
			 ,
			 ,
			 ,
			 ,
			 ,
			 ,
			 ,
			 ,
			 ,
			 ,
			 ,
			 ,
			 ,
			 ,
			 ,
			 ,
			 ,
			 ,
			 ,
			 ,
			 ,
			 ,
			 ,
			 ,
			 ,
			 ,
			 ,
			 ,
			 ,
			 ,
			 ,
			 ,
			 ,
			 ,
			 ,
			 ,
			 ,
			 ,
			 ,
			 ,
			 ,
			 ,
			 ,
			 ,
			 ,
			 ,
			 ,
			 ,
			 ,
			 ,
			 ,
			 ,
			 ,
			 ,
			 ,
			 ,
			 ,
			 ,
			 ,
			 ,
			 ,
			 ,
			 ,
			 ,
			 ,
			 ,
			 ,
			 ,
			 ,
			 ,
			 ,
			 ,
			 ,
			 ,
			 ,
			 ,
			 ,
			 ,
			 ,
			 ,
			 ,
			 ,
			 ,
			 ,
			 ,
			 ,
			 ,
			 ,
			 ,
			 ,
			 ,
			 ,
			 ,
			 ,
			 ,
			 ,
			 ,
			 ,
			 ,
			 ,
			 ,
			 ,
			 ,
			 ,
			 ,
			 ,
			 ,
			 ,
			 </v>
      </c>
      <c r="E8" s="19" t="str" cm="1">
        <f t="array" ref="E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8" s="19" t="str" cm="1">
        <f t="array" ref="F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9" spans="1:7" ht="20.05" customHeight="1">
      <c r="B9" s="20">
        <f>ROW(Entity[[#This Row],[ENo]])-3</f>
        <v>6</v>
      </c>
      <c r="C9" s="21" t="str">
        <f>_xlfn.XLOOKUP(Entity[[#This Row],[ENo]],InputEntities[ENo],InputEntities[Entity],"",0,1)</f>
        <v/>
      </c>
      <c r="D9" s="19" t="str" cm="1">
        <f t="array" ref="D9">_xlfn.TEXTJOIN(","&amp;CHAR(10)&amp;REPT(CHAR(9),3),TRUE,_xlfn._xlws.FILTER(ValueObject[Entity_コンストラクタ引数],ValueObject[Entity]=Entity[[#This Row],[Entity]]))</f>
        <v xml:space="preserve"> ,
			 ,
			 ,
			 ,
			 ,
			 ,
			 ,
			 ,
			 ,
			 ,
			 ,
			 ,
			 ,
			 ,
			 ,
			 ,
			 ,
			 ,
			 ,
			 ,
			 ,
			 ,
			 ,
			 ,
			 ,
			 ,
			 ,
			 ,
			 ,
			 ,
			 ,
			 ,
			 ,
			 ,
			 ,
			 ,
			 ,
			 ,
			 ,
			 ,
			 ,
			 ,
			 ,
			 ,
			 ,
			 ,
			 ,
			 ,
			 ,
			 ,
			 ,
			 ,
			 ,
			 ,
			 ,
			 ,
			 ,
			 ,
			 ,
			 ,
			 ,
			 ,
			 ,
			 ,
			 ,
			 ,
			 ,
			 ,
			 ,
			 ,
			 ,
			 ,
			 ,
			 ,
			 ,
			 ,
			 ,
			 ,
			 ,
			 ,
			 ,
			 ,
			 ,
			 ,
			 ,
			 ,
			 ,
			 ,
			 ,
			 ,
			 ,
			 ,
			 ,
			 ,
			 ,
			 ,
			 ,
			 ,
			 ,
			 ,
			 ,
			 ,
			 ,
			 ,
			 ,
			 ,
			 ,
			 ,
			 ,
			 ,
			 ,
			 ,
			 ,
			 </v>
      </c>
      <c r="E9" s="19" t="str" cm="1">
        <f t="array" ref="E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9" s="19" t="str" cm="1">
        <f t="array" ref="F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H4" sqref="H4"/>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94</v>
      </c>
    </row>
    <row r="3" spans="1:8">
      <c r="B3" s="15" t="s">
        <v>29</v>
      </c>
      <c r="C3" s="15" t="s">
        <v>7</v>
      </c>
      <c r="D3" s="15" t="s">
        <v>19</v>
      </c>
      <c r="E3" s="15" t="s">
        <v>102</v>
      </c>
      <c r="F3" s="40" t="s">
        <v>103</v>
      </c>
      <c r="H3" s="41" t="s">
        <v>104</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tmp_worker_mst(worker_code TEXT,worker_name TEXT);
CREATE TABLE tmp_working_time_plan_mst(worker_code TEXT,weekday INTEGER,working_time REAL);
CREATE TABLE tmp_page_mst(page_id INTEGER,page_name TEXT,movie_link TEXT,image_link TEXT,image_page_no INTEGER,slide_waiting_time REAL,note1 TEXT,note2 TEXT,note3 TEXT);</v>
      </c>
    </row>
    <row r="5" spans="1:8" ht="20.05" customHeight="1">
      <c r="B5" s="20">
        <f>ROW(Repository_SQLite[[#This Row],[ENo]])-3</f>
        <v>2</v>
      </c>
      <c r="C5" s="21" t="str">
        <f>_xlfn.XLOOKUP(SQLite_CREATE[[#This Row],[ENo]],InputEntities[ENo],InputEntities[Entity],"",0,1)</f>
        <v>WorkerMstEntity</v>
      </c>
      <c r="D5" s="21" t="str">
        <f>IF(SQLite_CREATE[[#This Row],[Entity]]="","",_xlfn.XLOOKUP(SQLite_CREATE[[#This Row],[ENo]],InputEntities[ENo],InputEntities[DBテーブル_物理名],"",0,1))</f>
        <v>tmp_worker_mst</v>
      </c>
      <c r="E5" s="19" t="str" cm="1">
        <f t="array" ref="E5">_xlfn.TEXTJOIN(",",TRUE,_xlfn._xlws.FILTER(ValueObject[SQLite_CREATE_Column],ValueObject[Entity]=SQLite_CREATE[[#This Row],[Entity]]))</f>
        <v>worker_code TEXT,worker_name TEXT</v>
      </c>
      <c r="F5" s="19" t="str" cm="1">
        <f t="array" ref="F5">IF(SQLite_CREATE[[#This Row],[Entity]]="","",SUBSTITUTE(SUBSTITUTE(Templates[SQLite_CREATE],"__Table__",SQLite_CREATE[[#This Row],[DBカラム_物理名]]),"__Columns__",SQLite_CREATE[[#This Row],[SQLite_CREATE_Columns]]))</f>
        <v>CREATE TABLE tmp_worker_mst(worker_code TEXT,worker_name TEXT);</v>
      </c>
    </row>
    <row r="6" spans="1:8" ht="20.05" customHeight="1">
      <c r="B6" s="20">
        <f>ROW(Repository_SQLite[[#This Row],[ENo]])-3</f>
        <v>3</v>
      </c>
      <c r="C6" s="21" t="str">
        <f>_xlfn.XLOOKUP(SQLite_CREATE[[#This Row],[ENo]],InputEntities[ENo],InputEntities[Entity],"",0,1)</f>
        <v>WorkingTimePlanMstEntity</v>
      </c>
      <c r="D6" s="21" t="str">
        <f>IF(SQLite_CREATE[[#This Row],[Entity]]="","",_xlfn.XLOOKUP(SQLite_CREATE[[#This Row],[ENo]],InputEntities[ENo],InputEntities[DBテーブル_物理名],"",0,1))</f>
        <v>tmp_working_time_plan_mst</v>
      </c>
      <c r="E6" s="19" t="str" cm="1">
        <f t="array" ref="E6">_xlfn.TEXTJOIN(",",TRUE,_xlfn._xlws.FILTER(ValueObject[SQLite_CREATE_Column],ValueObject[Entity]=SQLite_CREATE[[#This Row],[Entity]]))</f>
        <v>worker_code TEXT,weekday INTEGER,working_time REAL</v>
      </c>
      <c r="F6" s="19" t="str" cm="1">
        <f t="array" ref="F6">IF(SQLite_CREATE[[#This Row],[Entity]]="","",SUBSTITUTE(SUBSTITUTE(Templates[SQLite_CREATE],"__Table__",SQLite_CREATE[[#This Row],[DBカラム_物理名]]),"__Columns__",SQLite_CREATE[[#This Row],[SQLite_CREATE_Columns]]))</f>
        <v>CREATE TABLE tmp_working_time_plan_mst(worker_code TEXT,weekday INTEGER,working_time REAL);</v>
      </c>
    </row>
    <row r="7" spans="1:8" ht="20.05" customHeight="1">
      <c r="B7" s="20">
        <f>ROW(Repository_SQLite[[#This Row],[ENo]])-3</f>
        <v>4</v>
      </c>
      <c r="C7" s="21" t="str">
        <f>_xlfn.XLOOKUP(SQLite_CREATE[[#This Row],[ENo]],InputEntities[ENo],InputEntities[Entity],"",0,1)</f>
        <v>PageMstEntity</v>
      </c>
      <c r="D7" s="21" t="str">
        <f>IF(SQLite_CREATE[[#This Row],[Entity]]="","",_xlfn.XLOOKUP(SQLite_CREATE[[#This Row],[ENo]],InputEntities[ENo],InputEntities[DBテーブル_物理名],"",0,1))</f>
        <v>tmp_page_mst</v>
      </c>
      <c r="E7" s="19" t="str" cm="1">
        <f t="array" ref="E7">_xlfn.TEXTJOIN(",",TRUE,_xlfn._xlws.FILTER(ValueObject[SQLite_CREATE_Column],ValueObject[Entity]=SQLite_CREATE[[#This Row],[Entity]]))</f>
        <v>page_id INTEGER,page_name TEXT,movie_link TEXT,image_link TEXT,image_page_no INTEGER,slide_waiting_time REAL,note1 TEXT,note2 TEXT,note3 TEXT</v>
      </c>
      <c r="F7" s="19" t="str" cm="1">
        <f t="array" ref="F7">IF(SQLite_CREATE[[#This Row],[Entity]]="","",SUBSTITUTE(SUBSTITUTE(Templates[SQLite_CREATE],"__Table__",SQLite_CREATE[[#This Row],[DBカラム_物理名]]),"__Columns__",SQLite_CREATE[[#This Row],[SQLite_CREATE_Columns]]))</f>
        <v>CREATE TABLE tmp_page_mst(page_id INTEGER,page_name TEXT,movie_link TEXT,image_link TEXT,image_page_no INTEGER,slide_waiting_time REAL,note1 TEXT,note2 TEXT,note3 TEXT);</v>
      </c>
    </row>
    <row r="8" spans="1:8" ht="20.05" customHeight="1">
      <c r="B8" s="20">
        <f>ROW(Repository_SQLite[[#This Row],[ENo]])-3</f>
        <v>5</v>
      </c>
      <c r="C8" s="21" t="str">
        <f>_xlfn.XLOOKUP(SQLite_CREATE[[#This Row],[ENo]],InputEntities[ENo],InputEntities[Entity],"",0,1)</f>
        <v/>
      </c>
      <c r="D8" s="21" t="str">
        <f>IF(SQLite_CREATE[[#This Row],[Entity]]="","",_xlfn.XLOOKUP(SQLite_CREATE[[#This Row],[ENo]],InputEntities[ENo],InputEntities[DBテーブル_物理名],"",0,1))</f>
        <v/>
      </c>
      <c r="E8" s="19" t="str" cm="1">
        <f t="array" ref="E8">_xlfn.TEXTJOIN(",",TRUE,_xlfn._xlws.FILTER(ValueObject[SQLite_CREATE_Column],ValueObject[Entity]=SQLite_CREATE[[#This Row],[Entity]]))</f>
        <v/>
      </c>
      <c r="F8" s="19" t="str" cm="1">
        <f t="array" ref="F8">IF(SQLite_CREATE[[#This Row],[Entity]]="","",SUBSTITUTE(SUBSTITUTE(Templates[SQLite_CREATE],"__Table__",SQLite_CREATE[[#This Row],[DBカラム_物理名]]),"__Columns__",SQLite_CREATE[[#This Row],[SQLite_CREATE_Columns]]))</f>
        <v/>
      </c>
    </row>
    <row r="9" spans="1:8" ht="20.05" customHeight="1">
      <c r="B9" s="20">
        <f>ROW(Repository_SQLite[[#This Row],[ENo]])-3</f>
        <v>6</v>
      </c>
      <c r="C9" s="21" t="str">
        <f>_xlfn.XLOOKUP(SQLite_CREATE[[#This Row],[ENo]],InputEntities[ENo],InputEntities[Entity],"",0,1)</f>
        <v/>
      </c>
      <c r="D9" s="21" t="str">
        <f>IF(SQLite_CREATE[[#This Row],[Entity]]="","",_xlfn.XLOOKUP(SQLite_CREATE[[#This Row],[ENo]],InputEntities[ENo],InputEntities[DBテーブル_物理名],"",0,1))</f>
        <v/>
      </c>
      <c r="E9" s="19" t="str" cm="1">
        <f t="array" ref="E9">_xlfn.TEXTJOIN(",",TRUE,_xlfn._xlws.FILTER(ValueObject[SQLite_CREATE_Column],ValueObject[Entity]=SQLite_CREATE[[#This Row],[Entity]]))</f>
        <v/>
      </c>
      <c r="F9" s="19" t="str" cm="1">
        <f t="array" ref="F9">IF(SQLite_CREATE[[#This Row],[Entity]]="","",SUBSTITUTE(SUBSTITUTE(Templates[SQLite_CREATE],"__Table__",SQLite_CREATE[[#This Row],[DBカラム_物理名]]),"__Columns__",SQLite_CREATE[[#This Row],[SQLite_CREATE_Columns]]))</f>
        <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WorkerMstEntity</v>
      </c>
      <c r="D5" s="19" t="str">
        <f>IF(IRepository[[#This Row],[Entity]]="","",SUBSTITUTE("I"&amp;IRepository[[#This Row],[Entity]],"Entity","Repository"))</f>
        <v>IWorkerMstRepository</v>
      </c>
      <c r="E5" s="19" t="str" cm="1">
        <f t="array" ref="E5">_xlfn.TEXTJOIN(","&amp;CHAR(10),TRUE,_xlfn._xlws.FILTER(ValueObject[Entity_コンストラクタ引数],ValueObject[Entity]=IRepository[[#This Row],[Entity]]))</f>
        <v>string workerCode,
string workerName</v>
      </c>
      <c r="F5" s="19" t="str" cm="1">
        <f t="array" ref="F5">_xlfn.TEXTJOIN(CHAR(10),TRUE,_xlfn._xlws.FILTER(ValueObject[Entity_コンストラクタ],ValueObject[Entity]=IRepository[[#This Row],[Entity]]))</f>
        <v>WorkerCode = new WorkerCode(workerCode);
WorkerName = new WorkerName(workerName);</v>
      </c>
      <c r="G5" s="19" t="str" cm="1">
        <f t="array" ref="G5">_xlfn.TEXTJOIN(CHAR(10),TRUE,_xlfn._xlws.FILTER(ValueObject[Entity_プロパティ_get],ValueObject[Entity]=IRepository[[#This Row],[Entity]]))</f>
        <v>public WorkerCode WorkerCode { get; }
public WorkerName WorkerName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6" spans="1:8" ht="20.05" customHeight="1">
      <c r="B6" s="20">
        <f>ROW(IRepository[[#This Row],[ENo]])-3</f>
        <v>3</v>
      </c>
      <c r="C6" s="21" t="str">
        <f>_xlfn.XLOOKUP(IRepository[[#This Row],[ENo]],InputEntities[ENo],InputEntities[Entity],"",0,1)</f>
        <v>WorkingTimePlanMstEntity</v>
      </c>
      <c r="D6" s="19" t="str">
        <f>IF(IRepository[[#This Row],[Entity]]="","",SUBSTITUTE("I"&amp;IRepository[[#This Row],[Entity]],"Entity","Repository"))</f>
        <v>IWorkingTimePlanMstRepository</v>
      </c>
      <c r="E6" s="19" t="str" cm="1">
        <f t="array" ref="E6">_xlfn.TEXTJOIN(","&amp;CHAR(10),TRUE,_xlfn._xlws.FILTER(ValueObject[Entity_コンストラクタ引数],ValueObject[Entity]=IRepository[[#This Row],[Entity]]))</f>
        <v>string workerCode,
int weekday,
float? workingTime</v>
      </c>
      <c r="F6" s="19" t="str" cm="1">
        <f t="array" ref="F6">_xlfn.TEXTJOIN(CHAR(10),TRUE,_xlfn._xlws.FILTER(ValueObject[Entity_コンストラクタ],ValueObject[Entity]=IRepository[[#This Row],[Entity]]))</f>
        <v>WorkerCode = new WorkerCode(workerCode);
Weekday = new Weekday(weekday);
WorkingTime = new WorkingTime(workingTime);</v>
      </c>
      <c r="G6" s="19" t="str" cm="1">
        <f t="array" ref="G6">_xlfn.TEXTJOIN(CHAR(10),TRUE,_xlfn._xlws.FILTER(ValueObject[Entity_プロパティ_get],ValueObject[Entity]=IRepository[[#This Row],[Entity]]))</f>
        <v>public WorkerCode WorkerCode { get; }
public Weekday Weekday { get; }
public WorkingTime WorkingTime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7" spans="1:8" ht="20.05" customHeight="1">
      <c r="B7" s="20">
        <f>ROW(IRepository[[#This Row],[ENo]])-3</f>
        <v>4</v>
      </c>
      <c r="C7" s="21" t="str">
        <f>_xlfn.XLOOKUP(IRepository[[#This Row],[ENo]],InputEntities[ENo],InputEntities[Entity],"",0,1)</f>
        <v>PageMstEntity</v>
      </c>
      <c r="D7" s="19" t="str">
        <f>IF(IRepository[[#This Row],[Entity]]="","",SUBSTITUTE("I"&amp;IRepository[[#This Row],[Entity]],"Entity","Repository"))</f>
        <v>IPageMstRepository</v>
      </c>
      <c r="E7" s="19" t="str" cm="1">
        <f t="array" ref="E7">_xlfn.TEXTJOIN(","&amp;CHAR(10),TRUE,_xlfn._xlws.FILTER(ValueObject[Entity_コンストラクタ引数],ValueObject[Entity]=IRepository[[#This Row],[Entity]]))</f>
        <v>int pageId,
string pageName,
string? movieLink,
string? imageLink,
int? imagePageNo,
float slideWaitingTime,
string? note1,
string? note2,
string? note3</v>
      </c>
      <c r="F7" s="19" t="str" cm="1">
        <f t="array" ref="F7">_xlfn.TEXTJOIN(CHAR(10),TRUE,_xlfn._xlws.FILTER(ValueObject[Entity_コンストラクタ],ValueObject[Entity]=IRepository[[#This Row],[Entity]]))</f>
        <v>PageId = new PageId(pageId);
PageName = new PageName(pageName);
MovieLink = new MovieLink(movieLink);
ImageLink = new ImageLink(imageLink);
ImagePageNo = new ImagePageNo(imagePageNo);
SlideWaitingTime = new SlideWaitingTime(slideWaitingTime);
Note1 = new Note(note1);
Note2 = new Note(note2);
Note3 = new Note(note3);</v>
      </c>
      <c r="G7" s="19" t="str" cm="1">
        <f t="array" ref="G7">_xlfn.TEXTJOIN(CHAR(10),TRUE,_xlfn._xlws.FILTER(ValueObject[Entity_プロパティ_get],ValueObject[Entity]=IRepository[[#This Row],[Entity]]))</f>
        <v>public PageId PageId { get; }
public PageName PageName { get; }
public MovieLink MovieLink { get; }
public ImageLink ImageLink { get; }
public ImagePageNo ImagePageNo { get; }
public SlideWaitingTime SlideWaitingTime { get; }
public Note Note1 { get; }
public Note Note2 { get; }
public Note Note3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8" spans="1:8" ht="20.05" customHeight="1">
      <c r="B8" s="20">
        <f>ROW(IRepository[[#This Row],[ENo]])-3</f>
        <v>5</v>
      </c>
      <c r="C8" s="21" t="str">
        <f>_xlfn.XLOOKUP(IRepository[[#This Row],[ENo]],InputEntities[ENo],InputEntities[Entity],"",0,1)</f>
        <v/>
      </c>
      <c r="D8" s="19" t="str">
        <f>IF(IRepository[[#This Row],[Entity]]="","",SUBSTITUTE("I"&amp;IRepository[[#This Row],[Entity]],"Entity","Repository"))</f>
        <v/>
      </c>
      <c r="E8" s="19" t="str" cm="1">
        <f t="array" ref="E8">_xlfn.TEXTJOIN(","&amp;CHAR(10),TRUE,_xlfn._xlws.FILTER(ValueObject[Entity_コンストラクタ引数],ValueObject[Entity]=IRepository[[#This Row],[Entity]]))</f>
        <v xml:space="preserve"> ,
 ,
 ,
 ,
 ,
 ,
 ,
 ,
 ,
 ,
 ,
 ,
 ,
 ,
 ,
 ,
 ,
 ,
 ,
 ,
 ,
 ,
 ,
 ,
 ,
 ,
 ,
 ,
 ,
 ,
 ,
 ,
 ,
 ,
 ,
 ,
 ,
 ,
 ,
 ,
 ,
 ,
 ,
 ,
 ,
 ,
 ,
 ,
 ,
 ,
 ,
 ,
 ,
 ,
 ,
 ,
 ,
 ,
 ,
 ,
 ,
 ,
 ,
 ,
 ,
 ,
 ,
 ,
 ,
 ,
 ,
 ,
 ,
 ,
 ,
 ,
 ,
 ,
 ,
 ,
 ,
 ,
 ,
 ,
 ,
 ,
 ,
 ,
 ,
 ,
 ,
 ,
 ,
 ,
 ,
 ,
 ,
 ,
 ,
 ,
 ,
 ,
 ,
 ,
 ,
 ,
 ,
 ,
 ,
 ,
 ,
 ,
 ,
 </v>
      </c>
      <c r="F8" s="19" t="str" cm="1">
        <f t="array" ref="F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8" s="19" t="str" cm="1">
        <f t="array" ref="G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8" s="19" t="str" cm="1">
        <f t="array" ref="H8">IF(IRepository[[#This Row],[Entity]]="","",SUBSTITUTE(SUBSTITUTE(SUBSTITUTE(Templates[IRepository],"__SN__",'1_インプット'!$D$3),"__Entity__",IRepository[[#This Row],[Entity]]),"__IRepository__",IRepository[[#This Row],[IRepository]]))</f>
        <v/>
      </c>
    </row>
    <row r="9" spans="1:8" ht="20.05" customHeight="1">
      <c r="B9" s="20">
        <f>ROW(IRepository[[#This Row],[ENo]])-3</f>
        <v>6</v>
      </c>
      <c r="C9" s="21" t="str">
        <f>_xlfn.XLOOKUP(IRepository[[#This Row],[ENo]],InputEntities[ENo],InputEntities[Entity],"",0,1)</f>
        <v/>
      </c>
      <c r="D9" s="19" t="str">
        <f>IF(IRepository[[#This Row],[Entity]]="","",SUBSTITUTE("I"&amp;IRepository[[#This Row],[Entity]],"Entity","Repository"))</f>
        <v/>
      </c>
      <c r="E9" s="19" t="str" cm="1">
        <f t="array" ref="E9">_xlfn.TEXTJOIN(","&amp;CHAR(10),TRUE,_xlfn._xlws.FILTER(ValueObject[Entity_コンストラクタ引数],ValueObject[Entity]=IRepository[[#This Row],[Entity]]))</f>
        <v xml:space="preserve"> ,
 ,
 ,
 ,
 ,
 ,
 ,
 ,
 ,
 ,
 ,
 ,
 ,
 ,
 ,
 ,
 ,
 ,
 ,
 ,
 ,
 ,
 ,
 ,
 ,
 ,
 ,
 ,
 ,
 ,
 ,
 ,
 ,
 ,
 ,
 ,
 ,
 ,
 ,
 ,
 ,
 ,
 ,
 ,
 ,
 ,
 ,
 ,
 ,
 ,
 ,
 ,
 ,
 ,
 ,
 ,
 ,
 ,
 ,
 ,
 ,
 ,
 ,
 ,
 ,
 ,
 ,
 ,
 ,
 ,
 ,
 ,
 ,
 ,
 ,
 ,
 ,
 ,
 ,
 ,
 ,
 ,
 ,
 ,
 ,
 ,
 ,
 ,
 ,
 ,
 ,
 ,
 ,
 ,
 ,
 ,
 ,
 ,
 ,
 ,
 ,
 ,
 ,
 ,
 ,
 ,
 ,
 ,
 ,
 ,
 ,
 ,
 ,
 </v>
      </c>
      <c r="F9" s="19" t="str" cm="1">
        <f t="array" ref="F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9" s="19" t="str" cm="1">
        <f t="array" ref="G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9" s="19" t="str" cm="1">
        <f t="array" ref="H9">IF(IRepository[[#This Row],[Entity]]="","",SUBSTITUTE(SUBSTITUTE(SUBSTITUTE(Templates[IRepository],"__SN__",'1_インプット'!$D$3),"__Entity__",IRepository[[#This Row],[Entity]]),"__IRepository__",IRepository[[#This Row],[IRepository]]))</f>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121</v>
      </c>
      <c r="O3" s="17" t="s">
        <v>122</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WorkerMstEntity</v>
      </c>
      <c r="D5" s="21" t="str">
        <f>SUBSTITUTE(Repository_SQLite[[#This Row],[Entity]],"Entity","SQLite")</f>
        <v>WorkerMstSQLite</v>
      </c>
      <c r="E5" s="21" t="str">
        <f>SUBSTITUTE(Repository_SQLite[[#This Row],[Entity]],"Entity","Oracle")</f>
        <v>WorkerMstOracle</v>
      </c>
      <c r="F5" s="19" t="str">
        <f>SUBSTITUTE("I"&amp;Repository_SQLite[[#This Row],[Entity]],"Entity","Repository")</f>
        <v>IWorkerMstRepository</v>
      </c>
      <c r="G5" s="19" t="str">
        <f>SUBSTITUTE("Create"&amp;Repository_SQLite[[#This Row],[Entity]],"Entity","")</f>
        <v>CreateWorkerMst</v>
      </c>
      <c r="H5" s="21" t="str">
        <f>_xlfn.XLOOKUP(Repository_SQLite[[#This Row],[ENo]],InputEntities[ENo],InputEntities[DBテーブル_物理名],"",0,1)</f>
        <v>tmp_worker_mst</v>
      </c>
      <c r="I5" s="19" t="str" cm="1">
        <f t="array" ref="I5">_xlfn.TEXTJOIN(","&amp;CHAR(10)&amp;"  ",TRUE,_xlfn._xlws.FILTER(ValueObject[DBテーブル_物理名],ValueObject[Entity]=Repository_SQLite[[#This Row],[Entity]]))</f>
        <v>worker_code,
  worker_name</v>
      </c>
      <c r="J5" s="19" t="str" cm="1">
        <f t="array" ref="J5">_xlfn.TEXTJOIN(","&amp;CHAR(10)&amp;"  ",TRUE,_xlfn._xlws.FILTER(ValueObject[SQLite_パラメータ],ValueObject[Entity]=Repository_SQLite[[#This Row],[Entity]]))</f>
        <v>@worker_code,
  @worker_name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v>
      </c>
      <c r="L5" s="19" t="str" cm="1">
        <f t="array" ref="L5">_xlfn.TEXTJOIN(CHAR(10)&amp;"  AND ",TRUE,_xlfn._xlws.FILTER(ValueObject[SQL_Update],(ValueObject[Entity]=Repository_SQLite[[#This Row],[Entity]])*(ValueObject[PK]&gt;0)))</f>
        <v>worker_code = @worker_code</v>
      </c>
      <c r="M5" s="19" t="str" cm="1">
        <f t="array" ref="M5">_xlfn.TEXTJOIN(","&amp;CHAR(10)&amp;REPT(CHAR(9),6),TRUE,_xlfn._xlws.FILTER(ValueObject[Repository_Entity_Args],ValueObject[Entity]=Repository_SQLite[[#This Row],[Entity]]))</f>
        <v>Convert.ToString(reader["worker_code"]),
						Convert.ToString(reader["worker_name"])</v>
      </c>
      <c r="N5" s="19" t="str" cm="1">
        <f t="array" ref="N5">_xlfn.TEXTJOIN(","&amp;CHAR(10)&amp;REPT(CHAR(9),4),TRUE,_xlfn._xlws.FILTER(ValueObject[SQLiteParameter_Args],ValueObject[Entity]=Repository_SQLite[[#This Row],[Entity]]))</f>
        <v>new SQLiteParameter("@worker_code", entity.WorkerCode.Value),
				new SQLiteParameter("@worker_name", entity.WorkerName.Value)</v>
      </c>
      <c r="O5" s="19" t="str" cm="1">
        <f t="array" ref="O5">_xlfn.TEXTJOIN(","&amp;CHAR(10)&amp;REPT(CHAR(9),4),TRUE,_xlfn._xlws.FILTER(ValueObject[SQLiteParameter_Args],(ValueObject[Entity]=Repository_SQLite[[#This Row],[Entity]])*(ValueObject[PK]&gt;0)))</f>
        <v>new SQLiteParameter("@worker_code", entity.WorkerCode.Value)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5" s="19" t="str" cm="1">
        <f t="array" ref="Q5">SUBSTITUTE(SUBSTITUTE(Templates[SQL_SELECT],"__Columns__",Repository_SQLite[[#This Row],[SQL_カラム]]),"__Table__",Repository_SQLite[[#This Row],[DBテーブル_物理名]])</f>
        <v>SELECT
  worker_code,
  worker_name
FROM
  tmp_worker_mst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VALUES
 (@worker_code,
  @worker_name)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tmp_worker_mst
SET 
  worker_name = @worker_name
WHERE
  worker_code = @worker_code</v>
      </c>
      <c r="T5" s="19" t="str" cm="1">
        <f t="array" ref="T5">SUBSTITUTE(SUBSTITUTE(Templates[SQL_DELETE],"__Table__",Repository_SQLite[[#This Row],[DBテーブル_物理名]]),"__DeleteWhere__",Repository_SQLite[[#This Row],[SQL_Where_SQLite]])</f>
        <v>DELETE FROM tmp_worker_mst WHERE worker_code = @worker_code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6" spans="1:21" ht="190.75" customHeight="1">
      <c r="B6" s="20">
        <f>ROW(Repository_SQLite[[#This Row],[ENo]])-3</f>
        <v>3</v>
      </c>
      <c r="C6" s="21" t="str">
        <f>_xlfn.XLOOKUP(Repository_SQLite[[#This Row],[ENo]],InputEntities[ENo],InputEntities[Entity],"",0,1)</f>
        <v>WorkingTimePlanMstEntity</v>
      </c>
      <c r="D6" s="21" t="str">
        <f>SUBSTITUTE(Repository_SQLite[[#This Row],[Entity]],"Entity","SQLite")</f>
        <v>WorkingTimePlanMstSQLite</v>
      </c>
      <c r="E6" s="21" t="str">
        <f>SUBSTITUTE(Repository_SQLite[[#This Row],[Entity]],"Entity","Oracle")</f>
        <v>WorkingTimePlanMstOracle</v>
      </c>
      <c r="F6" s="19" t="str">
        <f>SUBSTITUTE("I"&amp;Repository_SQLite[[#This Row],[Entity]],"Entity","Repository")</f>
        <v>IWorkingTimePlanMstRepository</v>
      </c>
      <c r="G6" s="19" t="str">
        <f>SUBSTITUTE("Create"&amp;Repository_SQLite[[#This Row],[Entity]],"Entity","")</f>
        <v>CreateWorkingTimePlanMst</v>
      </c>
      <c r="H6" s="21" t="str">
        <f>_xlfn.XLOOKUP(Repository_SQLite[[#This Row],[ENo]],InputEntities[ENo],InputEntities[DBテーブル_物理名],"",0,1)</f>
        <v>tmp_working_time_plan_mst</v>
      </c>
      <c r="I6" s="19" t="str" cm="1">
        <f t="array" ref="I6">_xlfn.TEXTJOIN(","&amp;CHAR(10)&amp;"  ",TRUE,_xlfn._xlws.FILTER(ValueObject[DBテーブル_物理名],ValueObject[Entity]=Repository_SQLite[[#This Row],[Entity]]))</f>
        <v>worker_code,
  weekday,
  working_time</v>
      </c>
      <c r="J6" s="19" t="str" cm="1">
        <f t="array" ref="J6">_xlfn.TEXTJOIN(","&amp;CHAR(10)&amp;"  ",TRUE,_xlfn._xlws.FILTER(ValueObject[SQLite_パラメータ],ValueObject[Entity]=Repository_SQLite[[#This Row],[Entity]]))</f>
        <v>@worker_code,
  @weekday,
  @working_time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6" s="19" t="str" cm="1">
        <f t="array" ref="L6">_xlfn.TEXTJOIN(CHAR(10)&amp;"  AND ",TRUE,_xlfn._xlws.FILTER(ValueObject[SQL_Update],(ValueObject[Entity]=Repository_SQLite[[#This Row],[Entity]])*(ValueObject[PK]&gt;0)))</f>
        <v>worker_code = @worker_code
  AND weekday = @weekday</v>
      </c>
      <c r="M6" s="19" t="str" cm="1">
        <f t="array" ref="M6">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6" s="19" t="str" cm="1">
        <f t="array" ref="N6">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6" s="19" t="str" cm="1">
        <f t="array" ref="O6">_xlfn.TEXTJOIN(","&amp;CHAR(10)&amp;REPT(CHAR(9),4),TRUE,_xlfn._xlws.FILTER(ValueObject[SQLiteParameter_Args],(ValueObject[Entity]=Repository_SQLite[[#This Row],[Entity]])*(ValueObject[PK]&gt;0)))</f>
        <v>new SQLiteParameter("@worker_code", entity.WorkerCode.Value),
				new SQLiteParameter("@weekday", entity.Weekday.Value)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6" s="19" t="str" cm="1">
        <f t="array" ref="Q6">SUBSTITUTE(SUBSTITUTE(Templates[SQL_SELECT],"__Columns__",Repository_SQLite[[#This Row],[SQL_カラム]]),"__Table__",Repository_SQLite[[#This Row],[DBテーブル_物理名]])</f>
        <v>SELECT
  worker_code,
  weekday,
  working_time
FROM
  tmp_working_time_plan_mst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6" s="19" t="str" cm="1">
        <f t="array" ref="S6">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6" s="19" t="str" cm="1">
        <f t="array" ref="T6">SUBSTITUTE(SUBSTITUTE(Templates[SQL_DELETE],"__Table__",Repository_SQLite[[#This Row],[DBテーブル_物理名]]),"__DeleteWhere__",Repository_SQLite[[#This Row],[SQL_Where_SQLite]])</f>
        <v>DELETE FROM tmp_working_time_plan_mst WHERE worker_code = @worker_code
  AND weekday = @weekday</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7" spans="1:21" ht="19.75" customHeight="1">
      <c r="B7" s="20">
        <f>ROW(Repository_SQLite[[#This Row],[ENo]])-3</f>
        <v>4</v>
      </c>
      <c r="C7" s="21" t="str">
        <f>_xlfn.XLOOKUP(Repository_SQLite[[#This Row],[ENo]],InputEntities[ENo],InputEntities[Entity],"",0,1)</f>
        <v>PageMstEntity</v>
      </c>
      <c r="D7" s="21" t="str">
        <f>SUBSTITUTE(Repository_SQLite[[#This Row],[Entity]],"Entity","SQLite")</f>
        <v>PageMstSQLite</v>
      </c>
      <c r="E7" s="21" t="str">
        <f>SUBSTITUTE(Repository_SQLite[[#This Row],[Entity]],"Entity","Oracle")</f>
        <v>PageMstOracle</v>
      </c>
      <c r="F7" s="19" t="str">
        <f>SUBSTITUTE("I"&amp;Repository_SQLite[[#This Row],[Entity]],"Entity","Repository")</f>
        <v>IPageMstRepository</v>
      </c>
      <c r="G7" s="19" t="str">
        <f>SUBSTITUTE("Create"&amp;Repository_SQLite[[#This Row],[Entity]],"Entity","")</f>
        <v>CreatePageMst</v>
      </c>
      <c r="H7" s="21" t="str">
        <f>_xlfn.XLOOKUP(Repository_SQLite[[#This Row],[ENo]],InputEntities[ENo],InputEntities[DBテーブル_物理名],"",0,1)</f>
        <v>tmp_page_mst</v>
      </c>
      <c r="I7" s="19" t="str" cm="1">
        <f t="array" ref="I7">_xlfn.TEXTJOIN(","&amp;CHAR(10)&amp;"  ",TRUE,_xlfn._xlws.FILTER(ValueObject[DBテーブル_物理名],ValueObject[Entity]=Repository_SQLite[[#This Row],[Entity]]))</f>
        <v>page_id,
  page_name,
  movie_link,
  image_link,
  image_page_no,
  slide_waiting_time,
  note1,
  note2,
  note3</v>
      </c>
      <c r="J7" s="19" t="str" cm="1">
        <f t="array" ref="J7">_xlfn.TEXTJOIN(","&amp;CHAR(10)&amp;"  ",TRUE,_xlfn._xlws.FILTER(ValueObject[SQLite_パラメータ],ValueObject[Entity]=Repository_SQLite[[#This Row],[Entity]]))</f>
        <v>@page_id,
  @page_name,
  @movie_link,
  @image_link,
  @image_page_no,
  @slide_waiting_time,
  @note1,
  @note2,
  @note3</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image_link = @image_link,
  image_page_no = @image_page_no,
  slide_waiting_time = @slide_waiting_time,
  note1 = @note1,
  note2 = @note2,
  note3 = @note3</v>
      </c>
      <c r="L7" s="19" t="str" cm="1">
        <f t="array" ref="L7">_xlfn.TEXTJOIN(CHAR(10)&amp;"  AND ",TRUE,_xlfn._xlws.FILTER(ValueObject[SQL_Update],(ValueObject[Entity]=Repository_SQLite[[#This Row],[Entity]])*(ValueObject[PK]&gt;0)))</f>
        <v>page_id = @page_id</v>
      </c>
      <c r="M7" s="19" t="str" cm="1">
        <f t="array" ref="M7">_xlfn.TEXTJOIN(","&amp;CHAR(10)&amp;REPT(CHAR(9),6),TRUE,_xlfn._xlws.FILTER(ValueObject[Repository_Entity_Args],ValueObject[Entity]=Repository_SQLite[[#This Row],[Entity]]))</f>
        <v>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7" s="19" t="str" cm="1">
        <f t="array" ref="N7">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SQLiteParameter("@image_link", entity.ImageLink.Value),
				new SQLiteParameter("@image_page_no", entity.ImagePageNo.Value),
				new SQLiteParameter("@slide_waiting_time", entity.SlideWaitingTime.Value),
				new SQLiteParameter("@note1", entity.Note1.Value),
				new SQLiteParameter("@note2", entity.Note2.Value),
				new SQLiteParameter("@note3", entity.Note3.Value)</v>
      </c>
      <c r="O7" s="19" t="str" cm="1">
        <f t="array" ref="O7">_xlfn.TEXTJOIN(","&amp;CHAR(10)&amp;REPT(CHAR(9),4),TRUE,_xlfn._xlws.FILTER(ValueObject[SQLiteParameter_Args],(ValueObject[Entity]=Repository_SQLite[[#This Row],[Entity]])*(ValueObject[PK]&gt;0)))</f>
        <v>new SQLiteParameter("@page_id", entity.PageId.Value)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7" s="19" t="str" cm="1">
        <f t="array" ref="Q7">SUBSTITUTE(SUBSTITUTE(Templates[SQL_SELECT],"__Columns__",Repository_SQLite[[#This Row],[SQL_カラム]]),"__Table__",Repository_SQLite[[#This Row],[DBテーブル_物理名]])</f>
        <v>SELECT
  page_id,
  page_name,
  movie_link,
  image_link,
  image_page_no,
  slide_waiting_time,
  note1,
  note2,
  note3
FROM
  tmp_page_mst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image_link,
  image_page_no,
  slide_waiting_time,
  note1,
  note2,
  note3)
VALUES
 (@page_id,
  @page_name,
  @movie_link,
  @image_link,
  @image_page_no,
  @slide_waiting_time,
  @note1,
  @note2,
  @note3)</v>
      </c>
      <c r="S7" s="19" t="str" cm="1">
        <f t="array" ref="S7">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image_link = @image_link,
  image_page_no = @image_page_no,
  slide_waiting_time = @slide_waiting_time,
  note1 = @note1,
  note2 = @note2,
  note3 = @note3
WHERE
  page_id = @page_id</v>
      </c>
      <c r="T7" s="19" t="str" cm="1">
        <f t="array" ref="T7">SUBSTITUTE(SUBSTITUTE(Templates[SQL_DELETE],"__Table__",Repository_SQLite[[#This Row],[DBテーブル_物理名]]),"__DeleteWhere__",Repository_SQLite[[#This Row],[SQL_Where_SQLite]])</f>
        <v>DELETE FROM tmp_page_mst WHERE page_id = @page_id</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image_link,
  image_page_no,
  slide_waiting_time,
  note1,
  note2,
  note3)
VALUES
 (@page_id,
  @page_name,
  @movie_link,
  @image_link,
  @image_page_no,
  @slide_waiting_time,
  @note1,
  @note2,
  @note3)
";
            string update = @"
UPDATE tmp_page_mst
SET 
  page_name = @page_name,
  movie_link = @movie_link,
  image_link = @image_link,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SQLiteParameter("@image_link", entity.ImageLink.Value),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8" spans="1:21" ht="20.05" customHeight="1">
      <c r="B8" s="20">
        <f>ROW(Repository_SQLite[[#This Row],[ENo]])-3</f>
        <v>5</v>
      </c>
      <c r="C8" s="21" t="str">
        <f>_xlfn.XLOOKUP(Repository_SQLite[[#This Row],[ENo]],InputEntities[ENo],InputEntities[Entity],"",0,1)</f>
        <v/>
      </c>
      <c r="D8" s="21" t="str">
        <f>SUBSTITUTE(Repository_SQLite[[#This Row],[Entity]],"Entity","SQLite")</f>
        <v/>
      </c>
      <c r="E8" s="21" t="str">
        <f>SUBSTITUTE(Repository_SQLite[[#This Row],[Entity]],"Entity","Oracle")</f>
        <v/>
      </c>
      <c r="F8" s="19" t="str">
        <f>SUBSTITUTE("I"&amp;Repository_SQLite[[#This Row],[Entity]],"Entity","Repository")</f>
        <v>I</v>
      </c>
      <c r="G8" s="19" t="str">
        <f>SUBSTITUTE("Create"&amp;Repository_SQLite[[#This Row],[Entity]],"Entity","")</f>
        <v>Create</v>
      </c>
      <c r="H8" s="21">
        <f>_xlfn.XLOOKUP(Repository_SQLite[[#This Row],[ENo]],InputEntities[ENo],InputEntities[DBテーブル_物理名],"",0,1)</f>
        <v>0</v>
      </c>
      <c r="I8" s="19" t="str" cm="1">
        <f t="array" ref="I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8" s="19" t="str" cm="1">
        <f t="array" ref="J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8" s="19" t="e" cm="1" vm="1">
        <f t="array" ref="L8">_xlfn.TEXTJOIN(CHAR(10)&amp;"  AND ",TRUE,_xlfn._xlws.FILTER(ValueObject[SQL_Update],(ValueObject[Entity]=Repository_SQLite[[#This Row],[Entity]])*(ValueObject[PK]&gt;0)))</f>
        <v>#VALUE!</v>
      </c>
      <c r="M8" s="19" t="str" cm="1">
        <f t="array" ref="M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8" s="19" t="str" cm="1">
        <f t="array" ref="N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8" s="19" t="e" cm="1" vm="1">
        <f t="array" ref="O8">_xlfn.TEXTJOIN(","&amp;CHAR(10)&amp;REPT(CHAR(9),4),TRUE,_xlfn._xlws.FILTER(ValueObject[SQLiteParameter_Args],(ValueObject[Entity]=Repository_SQLite[[#This Row],[Entity]])*(ValueObject[PK]&gt;0)))</f>
        <v>#VALUE!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8" s="19" t="str" cm="1">
        <f t="array" ref="Q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8" s="19" t="e" cm="1" vm="2">
        <f t="array" ref="S8">SUBSTITUTE(SUBSTITUTE(SUBSTITUTE(Templates[SQL_UPDATE],"__Table__",Repository_SQLite[[#This Row],[DBテーブル_物理名]]),"__UpdateSet__",Repository_SQLite[[#This Row],[SQL_UpdateSet_SQLite]]),"__UpdateWhere__",Repository_SQLite[[#This Row],[SQL_Where_SQLite]])</f>
        <v>#VALUE!</v>
      </c>
      <c r="T8" s="19" t="e" cm="1" vm="2">
        <f t="array" ref="T8">SUBSTITUTE(SUBSTITUTE(Templates[SQL_DELETE],"__Table__",Repository_SQLite[[#This Row],[DBテーブル_物理名]]),"__DeleteWhere__",Repository_SQLite[[#This Row],[SQL_Where_SQLite]])</f>
        <v>#VALUE!</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9" spans="1:21" ht="20.05" customHeight="1">
      <c r="B9" s="20">
        <f>ROW(Repository_SQLite[[#This Row],[ENo]])-3</f>
        <v>6</v>
      </c>
      <c r="C9" s="21" t="str">
        <f>_xlfn.XLOOKUP(Repository_SQLite[[#This Row],[ENo]],InputEntities[ENo],InputEntities[Entity],"",0,1)</f>
        <v/>
      </c>
      <c r="D9" s="21" t="str">
        <f>SUBSTITUTE(Repository_SQLite[[#This Row],[Entity]],"Entity","SQLite")</f>
        <v/>
      </c>
      <c r="E9" s="21" t="str">
        <f>SUBSTITUTE(Repository_SQLite[[#This Row],[Entity]],"Entity","Oracle")</f>
        <v/>
      </c>
      <c r="F9" s="19" t="str">
        <f>SUBSTITUTE("I"&amp;Repository_SQLite[[#This Row],[Entity]],"Entity","Repository")</f>
        <v>I</v>
      </c>
      <c r="G9" s="19" t="str">
        <f>SUBSTITUTE("Create"&amp;Repository_SQLite[[#This Row],[Entity]],"Entity","")</f>
        <v>Create</v>
      </c>
      <c r="H9" s="21">
        <f>_xlfn.XLOOKUP(Repository_SQLite[[#This Row],[ENo]],InputEntities[ENo],InputEntities[DBテーブル_物理名],"",0,1)</f>
        <v>0</v>
      </c>
      <c r="I9" s="19" t="str" cm="1">
        <f t="array" ref="I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9" s="19" t="str" cm="1">
        <f t="array" ref="J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9" s="19" t="e" cm="1" vm="1">
        <f t="array" ref="L9">_xlfn.TEXTJOIN(CHAR(10)&amp;"  AND ",TRUE,_xlfn._xlws.FILTER(ValueObject[SQL_Update],(ValueObject[Entity]=Repository_SQLite[[#This Row],[Entity]])*(ValueObject[PK]&gt;0)))</f>
        <v>#VALUE!</v>
      </c>
      <c r="M9" s="19" t="str" cm="1">
        <f t="array" ref="M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9" s="19" t="str" cm="1">
        <f t="array" ref="N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9" s="19" t="e" cm="1" vm="1">
        <f t="array" ref="O9">_xlfn.TEXTJOIN(","&amp;CHAR(10)&amp;REPT(CHAR(9),4),TRUE,_xlfn._xlws.FILTER(ValueObject[SQLiteParameter_Args],(ValueObject[Entity]=Repository_SQLite[[#This Row],[Entity]])*(ValueObject[PK]&gt;0)))</f>
        <v>#VALUE!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9" s="19" t="str" cm="1">
        <f t="array" ref="Q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9" s="19" t="e" cm="1" vm="2">
        <f t="array" ref="S9">SUBSTITUTE(SUBSTITUTE(SUBSTITUTE(Templates[SQL_UPDATE],"__Table__",Repository_SQLite[[#This Row],[DBテーブル_物理名]]),"__UpdateSet__",Repository_SQLite[[#This Row],[SQL_UpdateSet_SQLite]]),"__UpdateWhere__",Repository_SQLite[[#This Row],[SQL_Where_SQLite]])</f>
        <v>#VALUE!</v>
      </c>
      <c r="T9" s="19" t="e" cm="1" vm="2">
        <f t="array" ref="T9">SUBSTITUTE(SUBSTITUTE(Templates[SQL_DELETE],"__Table__",Repository_SQLite[[#This Row],[DBテーブル_物理名]]),"__DeleteWhere__",Repository_SQLite[[#This Row],[SQL_Where_SQLite]])</f>
        <v>#VALUE!</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123</v>
      </c>
    </row>
    <row r="3" spans="1:12">
      <c r="C3" s="2" t="s">
        <v>124</v>
      </c>
      <c r="D3" s="3" t="s">
        <v>125</v>
      </c>
    </row>
    <row r="4" spans="1:12">
      <c r="K4" t="s">
        <v>132</v>
      </c>
    </row>
    <row r="5" spans="1:12">
      <c r="B5" s="15" t="s">
        <v>126</v>
      </c>
      <c r="C5" s="15" t="s">
        <v>7</v>
      </c>
      <c r="D5" s="15" t="s">
        <v>53</v>
      </c>
      <c r="E5" s="44" t="s">
        <v>76</v>
      </c>
      <c r="F5" s="15" t="s">
        <v>127</v>
      </c>
      <c r="G5" s="27" t="s">
        <v>128</v>
      </c>
      <c r="K5" s="5" t="s">
        <v>130</v>
      </c>
      <c r="L5" s="5" t="s">
        <v>131</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133</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WorkerMstEntity</v>
      </c>
      <c r="D7" s="21" t="str">
        <f>SUBSTITUTE(Repository_Oracle[[#This Row],[Entity]],"Entity","SQLite")</f>
        <v>WorkerMstSQLite</v>
      </c>
      <c r="E7" s="21" t="str">
        <f>SUBSTITUTE(Repository_Oracle[[#This Row],[Entity]],"Entity","Oracle")</f>
        <v>WorkerMstOracle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FROM
  tmp_worker_mst
";
            return SQLiteHelper.Query(sql,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List&lt;SQLiteParameter&gt;
            {
                new SQLiteParameter("@worker_code", entity.WorkerCode.Value),
				new SQLiteParameter("@worker_name", entity.WorkerName.Value)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FROM
  tmp_worker_mst
";
            return OracleOdpHelper.Query(sql,
                reader =&gt;
                {
                    return new WorkerMstEntity(
                        Convert.ToString(reader["worker_code"]),
						Convert.ToString(reader["worker_name"])
                        );
                });
        }
        public void Save(WorkerMstEntity entity)
        {
            string insert = @"
INSERT INTO tmp_worker_mst
 (worker_code,
  worker_name)
VALUES
 (:worker_code,
  :worker_name)
";
            string update = @"
UPDATE tmp_worker_mst
SET 
  worker_name = :worker_name
WHERE
  worker_code = :worker_code
";
            var args = new List&lt;OracleParameter&gt;
            {
                new OracleParameter(":worker_code", entity.WorkerCode.Value),
				new OracleParameter(":worker_name", entity.WorkerName.Value)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8" spans="1:12" ht="20.05" customHeight="1">
      <c r="B8" s="21">
        <f>ROW(Repository_Oracle[[#This Row],[Eno]])-5</f>
        <v>3</v>
      </c>
      <c r="C8" s="21" t="str">
        <f>_xlfn.XLOOKUP(Repository_Oracle[[#This Row],[Eno]],InputEntities[ENo],InputEntities[Entity],"",0,1)</f>
        <v>WorkingTimePlanMstEntity</v>
      </c>
      <c r="D8" s="21" t="str">
        <f>SUBSTITUTE(Repository_Oracle[[#This Row],[Entity]],"Entity","SQLite")</f>
        <v>WorkingTimePlanMstSQLite</v>
      </c>
      <c r="E8" s="21" t="str">
        <f>SUBSTITUTE(Repository_Oracle[[#This Row],[Entity]],"Entity","Oracle")</f>
        <v>WorkingTimePlanMstOracle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9" spans="1:12" ht="20.05" customHeight="1">
      <c r="B9" s="21">
        <f>ROW(Repository_Oracle[[#This Row],[Eno]])-5</f>
        <v>4</v>
      </c>
      <c r="C9" s="21" t="str">
        <f>_xlfn.XLOOKUP(Repository_Oracle[[#This Row],[Eno]],InputEntities[ENo],InputEntities[Entity],"",0,1)</f>
        <v>PageMstEntity</v>
      </c>
      <c r="D9" s="21" t="str">
        <f>SUBSTITUTE(Repository_Oracle[[#This Row],[Entity]],"Entity","SQLite")</f>
        <v>PageMstSQLite</v>
      </c>
      <c r="E9" s="21" t="str">
        <f>SUBSTITUTE(Repository_Oracle[[#This Row],[Entity]],"Entity","Oracle")</f>
        <v>PageMstOracle</v>
      </c>
      <c r="F9"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image_link,
  image_page_no,
  slide_waiting_time,
  note1,
  note2,
  note3)
VALUES
 (@page_id,
  @page_name,
  @movie_link,
  @image_link,
  @image_page_no,
  @slide_waiting_time,
  @note1,
  @note2,
  @note3)
";
            string update = @"
UPDATE tmp_page_mst
SET 
  page_name = @page_name,
  movie_link = @movie_link,
  image_link = @image_link,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SQLiteParameter("@image_link", entity.ImageLink.Value),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reader["image_link"] != DBNull.Value ? Convert.ToString(reader["image_link"])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image_link,
  image_page_no,
  slide_waiting_time,
  note1,
  note2,
  note3)
VALUES
 (:page_id,
  :page_name,
  :movie_link,
  :image_link,
  :image_page_no,
  :slide_waiting_time,
  :note1,
  :note2,
  :note3)
";
            string update = @"
UPDATE tmp_page_mst
SET 
  page_name = :page_name,
  movie_link = :movie_link,
  image_link = :image_link,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OracleParameter(":image_link", entity.ImageLink.Value),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0" spans="1:12" ht="20.05" customHeight="1">
      <c r="B10" s="21">
        <f>ROW(Repository_Oracle[[#This Row],[Eno]])-5</f>
        <v>5</v>
      </c>
      <c r="C10" s="21" t="str">
        <f>_xlfn.XLOOKUP(Repository_Oracle[[#This Row],[Eno]],InputEntities[ENo],InputEntities[Entity],"",0,1)</f>
        <v/>
      </c>
      <c r="D10" s="21" t="str">
        <f>SUBSTITUTE(Repository_Oracle[[#This Row],[Entity]],"Entity","SQLite")</f>
        <v/>
      </c>
      <c r="E10" s="21" t="str">
        <f>SUBSTITUTE(Repository_Oracle[[#This Row],[Entity]],"Entity","Oracle")</f>
        <v/>
      </c>
      <c r="F10" s="19" t="str">
        <f>_xlfn.XLOOKUP(Repository_Oracle[[#This Row],[Eno]],Repository_SQLite[ENo],Repository_SQLite[RepositorySQLiteコード],"",0,1)</f>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1" spans="1:12" ht="20.05" customHeight="1">
      <c r="B11" s="21">
        <f>ROW(Repository_Oracle[[#This Row],[Eno]])-5</f>
        <v>6</v>
      </c>
      <c r="C11" s="21" t="str">
        <f>_xlfn.XLOOKUP(Repository_Oracle[[#This Row],[Eno]],InputEntities[ENo],InputEntities[Entity],"",0,1)</f>
        <v/>
      </c>
      <c r="D11" s="21" t="str">
        <f>SUBSTITUTE(Repository_Oracle[[#This Row],[Entity]],"Entity","SQLite")</f>
        <v/>
      </c>
      <c r="E11" s="21" t="str">
        <f>SUBSTITUTE(Repository_Oracle[[#This Row],[Entity]],"Entity","Oracle")</f>
        <v/>
      </c>
      <c r="F11" s="19" t="str">
        <f>_xlfn.XLOOKUP(Repository_Oracle[[#This Row],[Eno]],Repository_SQLite[ENo],Repository_SQLite[RepositorySQLiteコード],"",0,1)</f>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8" width="39.1875" hidden="1" customWidth="1" outlineLevel="1"/>
    <col min="9" max="9" width="48.625" customWidth="1" collapsed="1"/>
    <col min="10" max="10" width="48.625" customWidth="1"/>
  </cols>
  <sheetData>
    <row r="1" spans="1:10" ht="19.3">
      <c r="A1" s="1" t="s">
        <v>80</v>
      </c>
    </row>
    <row r="3" spans="1:10">
      <c r="C3" s="31" t="s">
        <v>29</v>
      </c>
      <c r="D3" s="31" t="s">
        <v>81</v>
      </c>
      <c r="E3" s="31" t="s">
        <v>7</v>
      </c>
      <c r="F3" s="46" t="s">
        <v>80</v>
      </c>
      <c r="G3" s="31" t="s">
        <v>82</v>
      </c>
      <c r="H3" s="31" t="s">
        <v>86</v>
      </c>
      <c r="I3" s="32" t="s">
        <v>89</v>
      </c>
      <c r="J3" s="33" t="s">
        <v>90</v>
      </c>
    </row>
    <row r="4" spans="1:10" ht="254.6" customHeight="1">
      <c r="C4" s="21">
        <f>ROW(Entity[[#This Row],[ENo]])-3</f>
        <v>1</v>
      </c>
      <c r="D4" s="21" t="str">
        <f>_xlfn.XLOOKUP(ViewModelEntity[[#This Row],[ENo]],InputEntities[ENo],InputEntities[ViewModel],"",0,1)</f>
        <v>Sample001ViewModel</v>
      </c>
      <c r="E4" s="29" t="str">
        <f>IF(ViewModelEntity[[#This Row],[ViewModel]]=0,"",_xlfn.XLOOKUP(ViewModelEntity[[#This Row],[ENo]],InputEntities[ENo],InputEntities[Entity],"",0,1))</f>
        <v>SampleMstEntity</v>
      </c>
      <c r="F4" s="21" t="str">
        <f>IF(ViewModelEntity[[#This Row],[Entity]]="","",ViewModelEntity[[#This Row],[ViewModel]]&amp;SUBSTITUTE(ViewModelEntity[[#This Row],[Entity]],"Entity",""))</f>
        <v>Sample001ViewModelSampleMst</v>
      </c>
      <c r="G4" s="19" t="str" cm="1">
        <f t="array" ref="G4">_xlfn.TEXTJOIN(CHAR(10),TRUE,_xlfn._xlws.FILTER(ValueObject[ViewModelEntity_Property_get],ValueObject[Entity]=ViewModelEntity[[#This Row],[Entity]]))</f>
        <v xml:space="preserve">        public string SampleCode =&gt; _entity.SampleCode.Value;
        public string SampleName =&gt; _entity.SampleName.Value;</v>
      </c>
      <c r="H4" s="19" t="str" cm="1">
        <f t="array" ref="H4">_xlfn.TEXTJOIN(CHAR(10),TRUE,_xlfn._xlws.FILTER(ValueObject[ViewModelEntity_Property_getset],ValueObject[Entity]=ViewModelEntity[[#This Row],[Entity]]))</f>
        <v xml:space="preserve">       public string SampleCode 
        {
            get { return _entity.SampleCode.Value; }
            set { _entity.SampleCode = new SampleCode(value); }
        }
       public string SampleName 
        {
            get { return _entity.SampleName.Value; }
            set { _entity.SampleName = new SampleName(value);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Sample001ViewModelSampleMst
    {
        private SampleMstEntity _entity;
        public Sample001ViewModelSampleMst(SampleMstEntity entity)
        {
            _entity = entity;
        }
                public string SampleCode =&gt; _entity.SampleCode.Value;
        public string SampleName =&gt; _entity.SampleName.Value;
        public SampleMstEntity Entity { get { return _entity; } }
    }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Sample001ViewModelSampleMst
    {
        private SampleMstEntity _entity;
        public Sample001ViewModelSampleMst(SampleMstEntity entity)
        {
            _entity = entity;
        }
               public string SampleCode 
        {
            get { return _entity.SampleCode.Value; }
            set { _entity.SampleCode = new SampleCode(value); }
        }
       public string SampleName 
        {
            get { return _entity.SampleName.Value; }
            set { _entity.SampleName = new SampleName(value); }
        }
        public SampleMstEntity Entity { get { return _entity; } }
    }
}</v>
      </c>
    </row>
    <row r="5" spans="1:10" ht="20.05" customHeight="1">
      <c r="C5" s="21">
        <f>ROW(Entity[[#This Row],[ENo]])-3</f>
        <v>2</v>
      </c>
      <c r="D5" s="21" t="str">
        <f>_xlfn.XLOOKUP(ViewModelEntity[[#This Row],[ENo]],InputEntities[ENo],InputEntities[ViewModel],"",0,1)</f>
        <v>Sample002ViewModel</v>
      </c>
      <c r="E5" s="29" t="str">
        <f>IF(ViewModelEntity[[#This Row],[ViewModel]]=0,"",_xlfn.XLOOKUP(ViewModelEntity[[#This Row],[ENo]],InputEntities[ENo],InputEntities[Entity],"",0,1))</f>
        <v>WorkerMstEntity</v>
      </c>
      <c r="F5" s="21" t="str">
        <f>IF(ViewModelEntity[[#This Row],[Entity]]="","",ViewModelEntity[[#This Row],[ViewModel]]&amp;SUBSTITUTE(ViewModelEntity[[#This Row],[Entity]],"Entity",""))</f>
        <v>Sample002ViewModelWorkerMst</v>
      </c>
      <c r="G5" s="19" t="str" cm="1">
        <f t="array" ref="G5">_xlfn.TEXTJOIN(CHAR(10),TRUE,_xlfn._xlws.FILTER(ValueObject[ViewModelEntity_Property_get],ValueObject[Entity]=ViewModelEntity[[#This Row],[Entity]]))</f>
        <v xml:space="preserve">        public string WorkerCode =&gt; _entity.WorkerCode.Value;
        public string WorkerName =&gt; _entity.WorkerName.Value;</v>
      </c>
      <c r="H5" s="19" t="str" cm="1">
        <f t="array" ref="H5">_xlfn.TEXTJOIN(CHAR(10),TRUE,_xlfn._xlws.FILTER(ValueObject[ViewModelEntity_Property_getset],ValueObject[Entity]=ViewModelEntity[[#This Row],[Entity]]))</f>
        <v xml:space="preserve">       public string WorkerCode 
        {
            get { return _entity.WorkerCode.Value; }
            set { _entity.WorkerCode = new WorkerCode(value); }
        }
       public string WorkerName 
        {
            get { return _entity.WorkerName.Value; }
            set { _entity.WorkerName = new WorkerName(value);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private WorkerMstEntity _entity;
        public Sample002ViewModelWorkerMst(WorkerMstEntity entity)
        {
            _entity = entity;
        }
                public string WorkerCode =&gt; _entity.WorkerCode.Value;
        public string WorkerName =&gt; _entity.WorkerName.Value;
        public WorkerMstEntity Entity { get { return _entity; } }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private WorkerMstEntity _entity;
        public Sample002ViewModelWorkerMst(WorkerMstEntity entity)
        {
            _entity = entity;
        }
               public string WorkerCode 
        {
            get { return _entity.WorkerCode.Value; }
            set { _entity.WorkerCode = new WorkerCode(value); }
        }
       public string WorkerName 
        {
            get { return _entity.WorkerName.Value; }
            set { _entity.WorkerName = new WorkerName(value); }
        }
        public WorkerMstEntity Entity { get { return _entity; } }
    }
}</v>
      </c>
    </row>
    <row r="6" spans="1:10" ht="20.05" customHeight="1">
      <c r="C6" s="21">
        <f>ROW(Entity[[#This Row],[ENo]])-3</f>
        <v>3</v>
      </c>
      <c r="D6" s="21">
        <f>_xlfn.XLOOKUP(ViewModelEntity[[#This Row],[ENo]],InputEntities[ENo],InputEntities[ViewModel],"",0,1)</f>
        <v>0</v>
      </c>
      <c r="E6" s="29" t="str">
        <f>IF(ViewModelEntity[[#This Row],[ViewModel]]=0,"",_xlfn.XLOOKUP(ViewModelEntity[[#This Row],[ENo]],InputEntities[ENo],InputEntities[Entity],"",0,1))</f>
        <v/>
      </c>
      <c r="F6" s="21" t="str">
        <f>IF(ViewModelEntity[[#This Row],[Entity]]="","",ViewModelEntity[[#This Row],[ViewModel]]&amp;SUBSTITUTE(ViewModelEntity[[#This Row],[Entity]],"Entity",""))</f>
        <v/>
      </c>
      <c r="G6" s="19" t="str" cm="1">
        <f t="array" ref="G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6" s="19" t="str" cm="1">
        <f t="array" ref="H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7" spans="1:10" ht="20.05" customHeight="1">
      <c r="C7" s="21">
        <f>ROW(Entity[[#This Row],[ENo]])-3</f>
        <v>4</v>
      </c>
      <c r="D7" s="21">
        <f>_xlfn.XLOOKUP(ViewModelEntity[[#This Row],[ENo]],InputEntities[ENo],InputEntities[ViewModel],"",0,1)</f>
        <v>0</v>
      </c>
      <c r="E7" s="29" t="str">
        <f>IF(ViewModelEntity[[#This Row],[ViewModel]]=0,"",_xlfn.XLOOKUP(ViewModelEntity[[#This Row],[ENo]],InputEntities[ENo],InputEntities[Entity],"",0,1))</f>
        <v/>
      </c>
      <c r="F7" s="21" t="str">
        <f>IF(ViewModelEntity[[#This Row],[Entity]]="","",ViewModelEntity[[#This Row],[ViewModel]]&amp;SUBSTITUTE(ViewModelEntity[[#This Row],[Entity]],"Entity",""))</f>
        <v/>
      </c>
      <c r="G7" s="19" t="str" cm="1">
        <f t="array" ref="G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7" s="19" t="str" cm="1">
        <f t="array" ref="H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8" spans="1:10" ht="20.05" customHeight="1">
      <c r="C8" s="21">
        <f>ROW(Entity[[#This Row],[ENo]])-3</f>
        <v>5</v>
      </c>
      <c r="D8" s="21">
        <f>_xlfn.XLOOKUP(ViewModelEntity[[#This Row],[ENo]],InputEntities[ENo],InputEntities[ViewModel],"",0,1)</f>
        <v>0</v>
      </c>
      <c r="E8" s="29" t="str">
        <f>IF(ViewModelEntity[[#This Row],[ViewModel]]=0,"",_xlfn.XLOOKUP(ViewModelEntity[[#This Row],[ENo]],InputEntities[ENo],InputEntities[Entity],"",0,1))</f>
        <v/>
      </c>
      <c r="F8" s="21" t="str">
        <f>IF(ViewModelEntity[[#This Row],[Entity]]="","",ViewModelEntity[[#This Row],[ViewModel]]&amp;SUBSTITUTE(ViewModelEntity[[#This Row],[Entity]],"Entity",""))</f>
        <v/>
      </c>
      <c r="G8" s="19" t="str" cm="1">
        <f t="array" ref="G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8" s="19" t="str" cm="1">
        <f t="array" ref="H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9" s="19" t="str" cm="1">
        <f t="array" ref="H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0" s="19" t="str" cm="1">
        <f t="array" ref="H1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1" s="19" t="str" cm="1">
        <f t="array" ref="H1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2" s="19" t="str" cm="1">
        <f t="array" ref="H1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3" s="19" t="str" cm="1">
        <f t="array" ref="H1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4" s="19" t="str" cm="1">
        <f t="array" ref="H14">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5" s="19" t="str" cm="1">
        <f t="array" ref="H15">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6" s="19" t="str" cm="1">
        <f t="array" ref="H16">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7" s="19" t="str" cm="1">
        <f t="array" ref="H17">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8" s="19" t="str" cm="1">
        <f t="array" ref="H18">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19" s="19" t="str" cm="1">
        <f t="array" ref="H19">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0" s="19" t="str" cm="1">
        <f t="array" ref="H20">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1" s="19" t="str" cm="1">
        <f t="array" ref="H21">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2" s="19" t="str" cm="1">
        <f t="array" ref="H22">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
        public   =&gt; _entity..Value;</v>
      </c>
      <c r="H23" s="19" t="str" cm="1">
        <f t="array" ref="H23">_xlfn.TEXTJOIN(CHAR(10),TRUE,_xlfn._xlws.FILTER(ValueObject[ViewModelEntity_Property_getset],ValueObject[Entity]=ViewModelEntity[[#This Row],[Entity]]))</f>
        <v xml:space="preserve">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
       public   
        {
            get { return _entity..Value; }
            set { _entity.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2023-01-29T07:18:25Z</dcterms:modified>
</cp:coreProperties>
</file>