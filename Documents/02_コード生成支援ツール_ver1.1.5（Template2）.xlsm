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Repos\template2-cs\Documents\"/>
    </mc:Choice>
  </mc:AlternateContent>
  <xr:revisionPtr revIDLastSave="0" documentId="13_ncr:1_{10D4BD31-2826-4C00-B53F-2FFCE1A7DFCE}" xr6:coauthVersionLast="47" xr6:coauthVersionMax="47" xr10:uidLastSave="{00000000-0000-0000-0000-000000000000}"/>
  <bookViews>
    <workbookView xWindow="-103" yWindow="-103" windowWidth="22586" windowHeight="15840" tabRatio="830"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 i="1" l="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F11" i="1"/>
  <c r="C4" i="12" l="1"/>
  <c r="D4" i="12" s="1"/>
  <c r="C20" i="14"/>
  <c r="D20" i="14" s="1"/>
  <c r="C8" i="14"/>
  <c r="E8" i="14" s="1"/>
  <c r="J114" i="4"/>
  <c r="H127" i="4"/>
  <c r="D103" i="4"/>
  <c r="Y103" i="4" s="1" a="1"/>
  <c r="Y103" i="4" s="1"/>
  <c r="J36" i="4"/>
  <c r="E107" i="4"/>
  <c r="E66" i="4"/>
  <c r="H85" i="4"/>
  <c r="D93" i="4"/>
  <c r="Y93" i="4" s="1" a="1"/>
  <c r="Y93" i="4" s="1"/>
  <c r="D28" i="4"/>
  <c r="J38" i="4"/>
  <c r="D62" i="4"/>
  <c r="Y62" i="4" s="1" a="1"/>
  <c r="Y62" i="4" s="1"/>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X88" i="4" s="1" a="1"/>
  <c r="X88" i="4" s="1"/>
  <c r="J88" i="4"/>
  <c r="D102" i="4"/>
  <c r="Y102" i="4" s="1" a="1"/>
  <c r="Y102" i="4" s="1"/>
  <c r="D8" i="11"/>
  <c r="E8" i="11" s="1"/>
  <c r="F8" i="11" s="1"/>
  <c r="D7" i="11"/>
  <c r="E7" i="11" s="1"/>
  <c r="F7" i="11" s="1"/>
  <c r="D6" i="11"/>
  <c r="E6" i="11" s="1"/>
  <c r="F6" i="11" s="1"/>
  <c r="C17" i="14"/>
  <c r="D17" i="14" s="1"/>
  <c r="C16" i="14"/>
  <c r="D16" i="14" s="1"/>
  <c r="C15" i="14"/>
  <c r="E15" i="14" s="1"/>
  <c r="C14" i="14"/>
  <c r="D14" i="14" s="1"/>
  <c r="C13" i="14"/>
  <c r="E13" i="14" s="1"/>
  <c r="C12" i="14"/>
  <c r="D12" i="14" s="1"/>
  <c r="C11" i="14"/>
  <c r="E11" i="14" s="1"/>
  <c r="C10" i="14"/>
  <c r="D10" i="14" s="1"/>
  <c r="C25" i="14"/>
  <c r="D25" i="14" s="1"/>
  <c r="C24" i="14"/>
  <c r="D24" i="14" s="1"/>
  <c r="C23" i="14"/>
  <c r="E23" i="14" s="1"/>
  <c r="C22" i="14"/>
  <c r="C19" i="14"/>
  <c r="D19" i="14" s="1"/>
  <c r="C18" i="14"/>
  <c r="D18" i="14" s="1"/>
  <c r="C21" i="14"/>
  <c r="E21" i="14" s="1"/>
  <c r="H32" i="4"/>
  <c r="J29" i="4"/>
  <c r="E28" i="4"/>
  <c r="F28" i="4" s="1"/>
  <c r="G24" i="4"/>
  <c r="E25" i="4"/>
  <c r="H30" i="4"/>
  <c r="J27" i="4"/>
  <c r="W27" i="4" s="1" a="1"/>
  <c r="W27" i="4" s="1"/>
  <c r="J33" i="4"/>
  <c r="G28" i="4"/>
  <c r="I31" i="4"/>
  <c r="I26" i="4"/>
  <c r="P26" i="4" s="1"/>
  <c r="I34" i="4"/>
  <c r="P34" i="4" s="1"/>
  <c r="G31" i="4"/>
  <c r="I37" i="4"/>
  <c r="J39" i="4"/>
  <c r="V39" i="4" s="1" a="1"/>
  <c r="V39" i="4" s="1"/>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Y77" i="4" s="1" a="1"/>
  <c r="Y77" i="4" s="1"/>
  <c r="E78" i="4"/>
  <c r="D84" i="4"/>
  <c r="Y84" i="4" s="1" a="1"/>
  <c r="Y84" i="4" s="1"/>
  <c r="G73" i="4"/>
  <c r="J73" i="4"/>
  <c r="E76" i="4"/>
  <c r="E77" i="4"/>
  <c r="D88" i="4"/>
  <c r="Y88" i="4" s="1" a="1"/>
  <c r="Y88" i="4" s="1"/>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Y129" i="4" s="1" a="1"/>
  <c r="Y129" i="4" s="1"/>
  <c r="I131" i="4"/>
  <c r="J132" i="4"/>
  <c r="H133" i="4"/>
  <c r="E32" i="4"/>
  <c r="E36" i="4"/>
  <c r="J37" i="4"/>
  <c r="G40" i="4"/>
  <c r="D44" i="4"/>
  <c r="J53" i="4"/>
  <c r="H55" i="4"/>
  <c r="J61" i="4"/>
  <c r="I75" i="4"/>
  <c r="D80" i="4"/>
  <c r="Y80" i="4" s="1" a="1"/>
  <c r="Y80" i="4" s="1"/>
  <c r="G84" i="4"/>
  <c r="J87" i="4"/>
  <c r="E89" i="4"/>
  <c r="I92" i="4"/>
  <c r="G94" i="4"/>
  <c r="H101" i="4"/>
  <c r="E104" i="4"/>
  <c r="D107" i="4"/>
  <c r="E108" i="4"/>
  <c r="D115" i="4"/>
  <c r="Y115" i="4" s="1" a="1"/>
  <c r="Y115" i="4" s="1"/>
  <c r="J124" i="4"/>
  <c r="G127" i="4"/>
  <c r="J133" i="4"/>
  <c r="G36" i="4"/>
  <c r="H40" i="4"/>
  <c r="G44" i="4"/>
  <c r="D50" i="4"/>
  <c r="Y50" i="4" s="1" a="1"/>
  <c r="Y50" i="4" s="1"/>
  <c r="D52" i="4"/>
  <c r="J59" i="4"/>
  <c r="E61" i="4"/>
  <c r="E64" i="4"/>
  <c r="H80" i="4"/>
  <c r="G89" i="4"/>
  <c r="E90" i="4"/>
  <c r="D92" i="4"/>
  <c r="J92" i="4"/>
  <c r="G97" i="4"/>
  <c r="G99" i="4"/>
  <c r="G104" i="4"/>
  <c r="G105" i="4"/>
  <c r="H107" i="4"/>
  <c r="I111" i="4"/>
  <c r="J118" i="4"/>
  <c r="E120" i="4"/>
  <c r="E121" i="4"/>
  <c r="D130" i="4"/>
  <c r="Y130" i="4" s="1" a="1"/>
  <c r="Y130" i="4" s="1"/>
  <c r="D132" i="4"/>
  <c r="E133" i="4"/>
  <c r="D27" i="4"/>
  <c r="Y27" i="4" s="1" a="1"/>
  <c r="Y27" i="4" s="1"/>
  <c r="I24" i="4"/>
  <c r="G38" i="4"/>
  <c r="D40" i="4"/>
  <c r="I40" i="4"/>
  <c r="J44" i="4"/>
  <c r="J52" i="4"/>
  <c r="V52" i="4" s="1" a="1"/>
  <c r="V52" i="4" s="1"/>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Y75" i="4" s="1" a="1"/>
  <c r="Y75" i="4" s="1"/>
  <c r="D51" i="4"/>
  <c r="Y51" i="4" s="1" a="1"/>
  <c r="Y51" i="4" s="1"/>
  <c r="J31" i="4"/>
  <c r="X31" i="4" s="1" a="1"/>
  <c r="X31" i="4" s="1"/>
  <c r="G114" i="4"/>
  <c r="G85" i="4"/>
  <c r="J74" i="4"/>
  <c r="D54" i="4"/>
  <c r="Y54" i="4" s="1" a="1"/>
  <c r="Y54" i="4" s="1"/>
  <c r="J28" i="4"/>
  <c r="E130" i="4"/>
  <c r="D97" i="4"/>
  <c r="Y97" i="4" s="1" a="1"/>
  <c r="Y97" i="4" s="1"/>
  <c r="J70" i="4"/>
  <c r="H50" i="4"/>
  <c r="D29" i="4"/>
  <c r="D101" i="4"/>
  <c r="Y101" i="4" s="1" a="1"/>
  <c r="Y101" i="4" s="1"/>
  <c r="H72" i="4"/>
  <c r="D58" i="4"/>
  <c r="Y58" i="4" s="1" a="1"/>
  <c r="Y58" i="4" s="1"/>
  <c r="D36" i="4"/>
  <c r="Y36" i="4" s="1" a="1"/>
  <c r="Y36" i="4" s="1"/>
  <c r="I110" i="4"/>
  <c r="P110" i="4" s="1"/>
  <c r="Q110" i="4" s="1"/>
  <c r="J69" i="4"/>
  <c r="H109" i="4"/>
  <c r="H95" i="4"/>
  <c r="J72" i="4"/>
  <c r="J50" i="4"/>
  <c r="N50" i="4" s="1"/>
  <c r="I125" i="4"/>
  <c r="I130" i="4"/>
  <c r="H124" i="4"/>
  <c r="I113" i="4"/>
  <c r="P113" i="4" s="1"/>
  <c r="Q113" i="4" s="1"/>
  <c r="E101" i="4"/>
  <c r="F101" i="4" s="1"/>
  <c r="H126" i="4"/>
  <c r="G115" i="4"/>
  <c r="D110" i="4"/>
  <c r="Y110" i="4" s="1" a="1"/>
  <c r="Y110" i="4" s="1"/>
  <c r="I101" i="4"/>
  <c r="P101" i="4" s="1"/>
  <c r="Q101" i="4" s="1"/>
  <c r="J80" i="4"/>
  <c r="E69" i="4"/>
  <c r="U69" i="4" s="1"/>
  <c r="G49" i="4"/>
  <c r="I36" i="4"/>
  <c r="J82" i="4"/>
  <c r="H122" i="4"/>
  <c r="G79" i="4"/>
  <c r="D45" i="4"/>
  <c r="Y45" i="4" s="1" a="1"/>
  <c r="Y45" i="4" s="1"/>
  <c r="I32" i="4"/>
  <c r="H129" i="4"/>
  <c r="I119" i="4"/>
  <c r="O119" i="4" s="1"/>
  <c r="I104" i="4"/>
  <c r="E84" i="4"/>
  <c r="E81" i="4"/>
  <c r="H66" i="4"/>
  <c r="J122" i="4"/>
  <c r="E95" i="4"/>
  <c r="F95" i="4" s="1"/>
  <c r="J78" i="4"/>
  <c r="X78" i="4" s="1" a="1"/>
  <c r="X78" i="4" s="1"/>
  <c r="I48" i="4"/>
  <c r="J125" i="4"/>
  <c r="J109" i="4"/>
  <c r="I99" i="4"/>
  <c r="D86" i="4"/>
  <c r="Y86" i="4" s="1" a="1"/>
  <c r="Y86" i="4" s="1"/>
  <c r="E85" i="4"/>
  <c r="U85" i="4" s="1"/>
  <c r="G47" i="4"/>
  <c r="E46" i="4"/>
  <c r="J71" i="4"/>
  <c r="X71" i="4" s="1" a="1"/>
  <c r="X71" i="4" s="1"/>
  <c r="I61" i="4"/>
  <c r="H44" i="4"/>
  <c r="E30" i="4"/>
  <c r="D119" i="4"/>
  <c r="D100" i="4"/>
  <c r="Y100" i="4" s="1" a="1"/>
  <c r="Y100" i="4" s="1"/>
  <c r="G68" i="4"/>
  <c r="G48" i="4"/>
  <c r="G128" i="4"/>
  <c r="D109" i="4"/>
  <c r="Y109" i="4" s="1" a="1"/>
  <c r="Y109" i="4" s="1"/>
  <c r="E83" i="4"/>
  <c r="D71" i="4"/>
  <c r="D42" i="4"/>
  <c r="J32" i="4"/>
  <c r="H120" i="4"/>
  <c r="G92" i="4"/>
  <c r="D64" i="4"/>
  <c r="Y64" i="4" s="1" a="1"/>
  <c r="Y64" i="4" s="1"/>
  <c r="G46" i="4"/>
  <c r="E115" i="4"/>
  <c r="D94" i="4"/>
  <c r="D69" i="4"/>
  <c r="Y69" i="4" s="1" a="1"/>
  <c r="Y69" i="4" s="1"/>
  <c r="D53" i="4"/>
  <c r="J30" i="4"/>
  <c r="I109" i="4"/>
  <c r="X109" i="4" s="1" a="1"/>
  <c r="X109" i="4" s="1"/>
  <c r="H53" i="4"/>
  <c r="J101" i="4"/>
  <c r="X101" i="4" s="1" a="1"/>
  <c r="X101" i="4" s="1"/>
  <c r="I85" i="4"/>
  <c r="H69" i="4"/>
  <c r="I49" i="4"/>
  <c r="W49" i="4" s="1" a="1"/>
  <c r="W49" i="4" s="1"/>
  <c r="J68" i="4"/>
  <c r="V68" i="4" s="1" a="1"/>
  <c r="V68" i="4" s="1"/>
  <c r="I129" i="4"/>
  <c r="G119" i="4"/>
  <c r="H112" i="4"/>
  <c r="E24" i="4"/>
  <c r="U24" i="4" s="1"/>
  <c r="D125" i="4"/>
  <c r="Y125" i="4" s="1" a="1"/>
  <c r="Y125" i="4" s="1"/>
  <c r="H114" i="4"/>
  <c r="G109" i="4"/>
  <c r="H97" i="4"/>
  <c r="H74" i="4"/>
  <c r="D68" i="4"/>
  <c r="Y68" i="4" s="1" a="1"/>
  <c r="Y68" i="4" s="1"/>
  <c r="I44" i="4"/>
  <c r="H82" i="4"/>
  <c r="I102" i="4"/>
  <c r="O102" i="4" s="1"/>
  <c r="D57" i="4"/>
  <c r="Y57" i="4" s="1" a="1"/>
  <c r="Y57" i="4" s="1"/>
  <c r="E45" i="4"/>
  <c r="U45" i="4" s="1"/>
  <c r="I133" i="4"/>
  <c r="X133" i="4" s="1" a="1"/>
  <c r="X133" i="4" s="1"/>
  <c r="H125" i="4"/>
  <c r="G118" i="4"/>
  <c r="I112" i="4"/>
  <c r="P112" i="4" s="1"/>
  <c r="Q112" i="4" s="1"/>
  <c r="D98" i="4"/>
  <c r="I84" i="4"/>
  <c r="G81" i="4"/>
  <c r="D59" i="4"/>
  <c r="Y59" i="4" s="1" a="1"/>
  <c r="Y59" i="4" s="1"/>
  <c r="D122" i="4"/>
  <c r="Y122" i="4" s="1" a="1"/>
  <c r="Y122" i="4" s="1"/>
  <c r="J95" i="4"/>
  <c r="D78" i="4"/>
  <c r="N78" i="4" s="1"/>
  <c r="E48" i="4"/>
  <c r="F48" i="4" s="1"/>
  <c r="G117" i="4"/>
  <c r="E129" i="4"/>
  <c r="D112" i="4"/>
  <c r="H98" i="4"/>
  <c r="D60" i="4"/>
  <c r="Y60" i="4" s="1" a="1"/>
  <c r="Y60" i="4" s="1"/>
  <c r="J43" i="4"/>
  <c r="E125" i="4"/>
  <c r="D95" i="4"/>
  <c r="H78" i="4"/>
  <c r="H67" i="4"/>
  <c r="D38" i="4"/>
  <c r="Y38" i="4" s="1" a="1"/>
  <c r="Y38" i="4" s="1"/>
  <c r="D133" i="4"/>
  <c r="E113" i="4"/>
  <c r="H86" i="4"/>
  <c r="D61" i="4"/>
  <c r="D41" i="4"/>
  <c r="G108" i="4"/>
  <c r="D89" i="4"/>
  <c r="H65" i="4"/>
  <c r="D49" i="4"/>
  <c r="Y49" i="4" s="1" a="1"/>
  <c r="Y49" i="4" s="1"/>
  <c r="H119" i="4"/>
  <c r="G101" i="4"/>
  <c r="D24" i="4"/>
  <c r="I97" i="4"/>
  <c r="X97" i="4" s="1" a="1"/>
  <c r="X97" i="4" s="1"/>
  <c r="H83" i="4"/>
  <c r="H68" i="4"/>
  <c r="G42" i="4"/>
  <c r="I42" i="4"/>
  <c r="J128" i="4"/>
  <c r="I115" i="4"/>
  <c r="G107" i="4"/>
  <c r="H130" i="4"/>
  <c r="G124" i="4"/>
  <c r="G113" i="4"/>
  <c r="J107" i="4"/>
  <c r="H87" i="4"/>
  <c r="D72" i="4"/>
  <c r="Y72" i="4" s="1" a="1"/>
  <c r="Y72" i="4" s="1"/>
  <c r="H63" i="4"/>
  <c r="H43" i="4"/>
  <c r="I47" i="4"/>
  <c r="W47" i="4" s="1" a="1"/>
  <c r="W47" i="4" s="1"/>
  <c r="E57" i="4"/>
  <c r="V57" i="4" s="1" a="1"/>
  <c r="V57" i="4" s="1"/>
  <c r="H45" i="4"/>
  <c r="G131" i="4"/>
  <c r="G122" i="4"/>
  <c r="J116" i="4"/>
  <c r="G111" i="4"/>
  <c r="I95" i="4"/>
  <c r="O95" i="4" s="1"/>
  <c r="D66" i="4"/>
  <c r="G59" i="4"/>
  <c r="E111" i="4"/>
  <c r="U111" i="4" s="1"/>
  <c r="E94" i="4"/>
  <c r="F94" i="4" s="1"/>
  <c r="G82" i="4"/>
  <c r="H48" i="4"/>
  <c r="J48" i="4"/>
  <c r="D32" i="4"/>
  <c r="J115" i="4"/>
  <c r="N115" i="4" s="1"/>
  <c r="D106" i="4"/>
  <c r="Y106" i="4" s="1" a="1"/>
  <c r="Y106" i="4" s="1"/>
  <c r="E97" i="4"/>
  <c r="G95" i="4"/>
  <c r="J86" i="4"/>
  <c r="K86" i="4" s="1"/>
  <c r="E79" i="4"/>
  <c r="D46" i="4"/>
  <c r="I87" i="4"/>
  <c r="I69" i="4"/>
  <c r="P69" i="4" s="1"/>
  <c r="Q69" i="4" s="1"/>
  <c r="I53" i="4"/>
  <c r="O53" i="4" s="1"/>
  <c r="D126" i="4"/>
  <c r="Y126" i="4" s="1" a="1"/>
  <c r="Y126" i="4" s="1"/>
  <c r="E37" i="4"/>
  <c r="D56" i="4"/>
  <c r="Y56" i="4" s="1" a="1"/>
  <c r="Y56" i="4" s="1"/>
  <c r="D73" i="4"/>
  <c r="Y73" i="4" s="1" a="1"/>
  <c r="Y73" i="4" s="1"/>
  <c r="E80" i="4"/>
  <c r="V80" i="4" s="1" a="1"/>
  <c r="V80" i="4" s="1"/>
  <c r="H110" i="4"/>
  <c r="H41" i="4"/>
  <c r="J106" i="4"/>
  <c r="K106" i="4" s="1"/>
  <c r="M106" i="4" s="1"/>
  <c r="H106" i="4"/>
  <c r="E42" i="4"/>
  <c r="E82" i="4"/>
  <c r="F82" i="4" s="1"/>
  <c r="H29" i="4"/>
  <c r="D104" i="4"/>
  <c r="E131" i="4"/>
  <c r="D48" i="4"/>
  <c r="Y48" i="4" s="1" a="1"/>
  <c r="Y48" i="4" s="1"/>
  <c r="E106" i="4"/>
  <c r="V106" i="4" s="1" a="1"/>
  <c r="V106" i="4" s="1"/>
  <c r="D82" i="4"/>
  <c r="J46" i="4"/>
  <c r="K46" i="4" s="1"/>
  <c r="M46" i="4" s="1"/>
  <c r="D70" i="4"/>
  <c r="K70" i="4" s="1"/>
  <c r="D43" i="4"/>
  <c r="Y43" i="4" s="1" a="1"/>
  <c r="Y43" i="4" s="1"/>
  <c r="G75" i="4"/>
  <c r="E128" i="4"/>
  <c r="J127" i="4"/>
  <c r="V127" i="4" s="1" a="1"/>
  <c r="V127" i="4" s="1"/>
  <c r="D123" i="4"/>
  <c r="Y123" i="4" s="1" a="1"/>
  <c r="Y123" i="4" s="1"/>
  <c r="E132" i="4"/>
  <c r="U132" i="4" s="1"/>
  <c r="J131" i="4"/>
  <c r="E126" i="4"/>
  <c r="F126" i="4" s="1"/>
  <c r="H118" i="4"/>
  <c r="H108" i="4"/>
  <c r="E105" i="4"/>
  <c r="U105" i="4" s="1"/>
  <c r="E118" i="4"/>
  <c r="J117" i="4"/>
  <c r="H103" i="4"/>
  <c r="G103" i="4"/>
  <c r="D121" i="4"/>
  <c r="Y121" i="4" s="1" a="1"/>
  <c r="Y121" i="4" s="1"/>
  <c r="D118" i="4"/>
  <c r="Y118" i="4" s="1" a="1"/>
  <c r="Y118" i="4" s="1"/>
  <c r="D113" i="4"/>
  <c r="Y113" i="4" s="1" a="1"/>
  <c r="Y113" i="4" s="1"/>
  <c r="D111" i="4"/>
  <c r="Y111" i="4" s="1" a="1"/>
  <c r="Y111" i="4" s="1"/>
  <c r="I108" i="4"/>
  <c r="O108" i="4" s="1"/>
  <c r="H93" i="4"/>
  <c r="G93" i="4"/>
  <c r="I100" i="4"/>
  <c r="P100" i="4" s="1"/>
  <c r="Q100" i="4" s="1"/>
  <c r="J99" i="4"/>
  <c r="D91" i="4"/>
  <c r="Y91" i="4" s="1" a="1"/>
  <c r="Y91" i="4" s="1"/>
  <c r="I91" i="4"/>
  <c r="G102" i="4"/>
  <c r="D96" i="4"/>
  <c r="Y96" i="4" s="1" a="1"/>
  <c r="Y96" i="4" s="1"/>
  <c r="I81" i="4"/>
  <c r="P81" i="4" s="1"/>
  <c r="Q81" i="4" s="1"/>
  <c r="I86" i="4"/>
  <c r="I94" i="4"/>
  <c r="G86" i="4"/>
  <c r="G77" i="4"/>
  <c r="I74" i="4"/>
  <c r="P74" i="4" s="1"/>
  <c r="Q74" i="4" s="1"/>
  <c r="J65" i="4"/>
  <c r="I73" i="4"/>
  <c r="O73" i="4" s="1"/>
  <c r="J67" i="4"/>
  <c r="E110" i="4"/>
  <c r="D116" i="4"/>
  <c r="Y116" i="4" s="1" a="1"/>
  <c r="Y116" i="4" s="1"/>
  <c r="H25" i="4"/>
  <c r="H52" i="4"/>
  <c r="D63" i="4"/>
  <c r="Y63" i="4" s="1" a="1"/>
  <c r="Y63" i="4" s="1"/>
  <c r="I96" i="4"/>
  <c r="J41" i="4"/>
  <c r="G129" i="4"/>
  <c r="D83" i="4"/>
  <c r="E47" i="4"/>
  <c r="U47" i="4" s="1"/>
  <c r="J130" i="4"/>
  <c r="X130" i="4" s="1" a="1"/>
  <c r="X130" i="4" s="1"/>
  <c r="E102" i="4"/>
  <c r="U102" i="4" s="1"/>
  <c r="H94" i="4"/>
  <c r="I57" i="4"/>
  <c r="G62" i="4"/>
  <c r="E38" i="4"/>
  <c r="F38" i="4" s="1"/>
  <c r="H71" i="4"/>
  <c r="H128" i="4"/>
  <c r="I128" i="4"/>
  <c r="G126" i="4"/>
  <c r="J126" i="4"/>
  <c r="H123" i="4"/>
  <c r="I132" i="4"/>
  <c r="P132" i="4" s="1"/>
  <c r="Q132" i="4" s="1"/>
  <c r="G130" i="4"/>
  <c r="I124" i="4"/>
  <c r="I117" i="4"/>
  <c r="J108" i="4"/>
  <c r="V108" i="4" s="1" a="1"/>
  <c r="V108" i="4" s="1"/>
  <c r="D105" i="4"/>
  <c r="Y105" i="4" s="1" a="1"/>
  <c r="Y105" i="4" s="1"/>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Y79" i="4" s="1" a="1"/>
  <c r="Y79" i="4" s="1"/>
  <c r="D120" i="4"/>
  <c r="K120" i="4" s="1"/>
  <c r="I82" i="4"/>
  <c r="W82" i="4" s="1" a="1"/>
  <c r="W82" i="4" s="1"/>
  <c r="J94" i="4"/>
  <c r="J129" i="4"/>
  <c r="K129" i="4" s="1"/>
  <c r="L129" i="4" s="1"/>
  <c r="I98" i="4"/>
  <c r="P98" i="4" s="1"/>
  <c r="Q98" i="4" s="1"/>
  <c r="E86" i="4"/>
  <c r="F86" i="4" s="1"/>
  <c r="H46" i="4"/>
  <c r="I89" i="4"/>
  <c r="H60" i="4"/>
  <c r="H37" i="4"/>
  <c r="I127" i="4"/>
  <c r="D127" i="4"/>
  <c r="Y127" i="4" s="1" a="1"/>
  <c r="Y127" i="4" s="1"/>
  <c r="E123" i="4"/>
  <c r="J123" i="4"/>
  <c r="K123" i="4" s="1"/>
  <c r="D131" i="4"/>
  <c r="Y131" i="4" s="1" a="1"/>
  <c r="Y131" i="4" s="1"/>
  <c r="D128" i="4"/>
  <c r="Y128" i="4" s="1" a="1"/>
  <c r="Y128" i="4" s="1"/>
  <c r="G123" i="4"/>
  <c r="I116" i="4"/>
  <c r="X116" i="4" s="1" a="1"/>
  <c r="X116" i="4" s="1"/>
  <c r="H105" i="4"/>
  <c r="D117" i="4"/>
  <c r="Y117" i="4" s="1" a="1"/>
  <c r="Y117" i="4" s="1"/>
  <c r="E103" i="4"/>
  <c r="U103" i="4" s="1"/>
  <c r="E122" i="4"/>
  <c r="U122" i="4" s="1"/>
  <c r="J121" i="4"/>
  <c r="E116" i="4"/>
  <c r="F116" i="4" s="1"/>
  <c r="E114" i="4"/>
  <c r="F114" i="4" s="1"/>
  <c r="J113" i="4"/>
  <c r="J111" i="4"/>
  <c r="E93" i="4"/>
  <c r="F93" i="4" s="1"/>
  <c r="H102" i="4"/>
  <c r="D99" i="4"/>
  <c r="J91" i="4"/>
  <c r="I106" i="4"/>
  <c r="P106" i="4" s="1"/>
  <c r="Q106" i="4" s="1"/>
  <c r="H100" i="4"/>
  <c r="J96" i="4"/>
  <c r="V96" i="4" s="1" a="1"/>
  <c r="V96" i="4" s="1"/>
  <c r="H88" i="4"/>
  <c r="H81" i="4"/>
  <c r="H90" i="4"/>
  <c r="E88" i="4"/>
  <c r="U88" i="4" s="1"/>
  <c r="G90" i="4"/>
  <c r="I77" i="4"/>
  <c r="I76" i="4"/>
  <c r="P76" i="4" s="1"/>
  <c r="Q76" i="4" s="1"/>
  <c r="G74" i="4"/>
  <c r="G65" i="4"/>
  <c r="I65" i="4"/>
  <c r="G67" i="4"/>
  <c r="I67" i="4"/>
  <c r="W67" i="4" s="1" a="1"/>
  <c r="W67" i="4" s="1"/>
  <c r="G32" i="4"/>
  <c r="G29" i="4"/>
  <c r="H27" i="4"/>
  <c r="G33" i="4"/>
  <c r="I25" i="4"/>
  <c r="P25" i="4" s="1"/>
  <c r="Q25" i="4" s="1"/>
  <c r="G30" i="4"/>
  <c r="G27" i="4"/>
  <c r="E33" i="4"/>
  <c r="F33" i="4" s="1"/>
  <c r="D31" i="4"/>
  <c r="Y31" i="4" s="1" a="1"/>
  <c r="Y31" i="4" s="1"/>
  <c r="J26" i="4"/>
  <c r="K26" i="4" s="1"/>
  <c r="L26" i="4" s="1"/>
  <c r="E34" i="4"/>
  <c r="U34" i="4" s="1"/>
  <c r="D35" i="4"/>
  <c r="E35" i="4"/>
  <c r="U35" i="4" s="1"/>
  <c r="G37" i="4"/>
  <c r="H42" i="4"/>
  <c r="G45" i="4"/>
  <c r="H39" i="4"/>
  <c r="I41" i="4"/>
  <c r="O41" i="4" s="1"/>
  <c r="I43" i="4"/>
  <c r="P43" i="4" s="1"/>
  <c r="Q43" i="4" s="1"/>
  <c r="H47" i="4"/>
  <c r="G58" i="4"/>
  <c r="E59" i="4"/>
  <c r="V59" i="4" s="1" a="1"/>
  <c r="V59" i="4" s="1"/>
  <c r="G64" i="4"/>
  <c r="E50" i="4"/>
  <c r="U50" i="4" s="1"/>
  <c r="E55" i="4"/>
  <c r="H59" i="4"/>
  <c r="I64" i="4"/>
  <c r="X64" i="4" s="1" a="1"/>
  <c r="X64" i="4" s="1"/>
  <c r="G69" i="4"/>
  <c r="J75" i="4"/>
  <c r="N75" i="4" s="1"/>
  <c r="E51" i="4"/>
  <c r="F51" i="4" s="1"/>
  <c r="G56" i="4"/>
  <c r="E62" i="4"/>
  <c r="F62" i="4" s="1"/>
  <c r="G52" i="4"/>
  <c r="J60" i="4"/>
  <c r="J66" i="4"/>
  <c r="K66" i="4" s="1"/>
  <c r="M66" i="4" s="1"/>
  <c r="E70" i="4"/>
  <c r="U70" i="4" s="1"/>
  <c r="H73" i="4"/>
  <c r="J77" i="4"/>
  <c r="G83" i="4"/>
  <c r="E73" i="4"/>
  <c r="U73" i="4" s="1"/>
  <c r="E74" i="4"/>
  <c r="H77" i="4"/>
  <c r="D90" i="4"/>
  <c r="Y90" i="4" s="1" a="1"/>
  <c r="Y90" i="4" s="1"/>
  <c r="J81" i="4"/>
  <c r="X81" i="4" s="1" a="1"/>
  <c r="X81" i="4" s="1"/>
  <c r="E91" i="4"/>
  <c r="H99" i="4"/>
  <c r="I122" i="4"/>
  <c r="H131" i="4"/>
  <c r="I126" i="4"/>
  <c r="P126" i="4" s="1"/>
  <c r="Q126" i="4" s="1"/>
  <c r="D74" i="4"/>
  <c r="Y74" i="4" s="1" a="1"/>
  <c r="Y74" i="4" s="1"/>
  <c r="E109" i="4"/>
  <c r="U109" i="4" s="1"/>
  <c r="G57" i="4"/>
  <c r="E53" i="4"/>
  <c r="I83" i="4"/>
  <c r="H76" i="4"/>
  <c r="C7" i="14"/>
  <c r="D33" i="4"/>
  <c r="Y33" i="4" s="1" a="1"/>
  <c r="Y33" i="4" s="1"/>
  <c r="I30" i="4"/>
  <c r="P30" i="4" s="1"/>
  <c r="Q30" i="4" s="1"/>
  <c r="E29" i="4"/>
  <c r="F29" i="4" s="1"/>
  <c r="D25" i="4"/>
  <c r="J25" i="4"/>
  <c r="V25" i="4" s="1" a="1"/>
  <c r="V25" i="4" s="1"/>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Y39" i="4" s="1" a="1"/>
  <c r="Y39" i="4" s="1"/>
  <c r="E41" i="4"/>
  <c r="E43" i="4"/>
  <c r="V43" i="4" s="1" a="1"/>
  <c r="V43" i="4" s="1"/>
  <c r="I45" i="4"/>
  <c r="X45" i="4" s="1" a="1"/>
  <c r="X45" i="4" s="1"/>
  <c r="D47" i="4"/>
  <c r="Y47" i="4" s="1" a="1"/>
  <c r="Y47" i="4" s="1"/>
  <c r="H57" i="4"/>
  <c r="I54" i="4"/>
  <c r="O54" i="4" s="1"/>
  <c r="I58" i="4"/>
  <c r="P58" i="4" s="1"/>
  <c r="Q58" i="4" s="1"/>
  <c r="G60" i="4"/>
  <c r="G66" i="4"/>
  <c r="J54" i="4"/>
  <c r="K54" i="4" s="1"/>
  <c r="H56" i="4"/>
  <c r="I60" i="4"/>
  <c r="I66" i="4"/>
  <c r="E71" i="4"/>
  <c r="F71" i="4" s="1"/>
  <c r="H79" i="4"/>
  <c r="G51" i="4"/>
  <c r="G63" i="4"/>
  <c r="I52" i="4"/>
  <c r="O52" i="4" s="1"/>
  <c r="H54" i="4"/>
  <c r="H62" i="4"/>
  <c r="I72" i="4"/>
  <c r="W72" i="4" s="1" a="1"/>
  <c r="W72" i="4" s="1"/>
  <c r="G78" i="4"/>
  <c r="J84" i="4"/>
  <c r="K84" i="4" s="1"/>
  <c r="L84" i="4" s="1"/>
  <c r="D67" i="4"/>
  <c r="Y67" i="4" s="1" a="1"/>
  <c r="Y67" i="4" s="1"/>
  <c r="D65" i="4"/>
  <c r="Y65" i="4" s="1" a="1"/>
  <c r="Y65" i="4" s="1"/>
  <c r="J90" i="4"/>
  <c r="K90" i="4" s="1"/>
  <c r="D81" i="4"/>
  <c r="Y81" i="4" s="1" a="1"/>
  <c r="Y81" i="4" s="1"/>
  <c r="H96" i="4"/>
  <c r="J100" i="4"/>
  <c r="H91" i="4"/>
  <c r="E100" i="4"/>
  <c r="F100" i="4" s="1"/>
  <c r="I93" i="4"/>
  <c r="I114" i="4"/>
  <c r="O114" i="4" s="1"/>
  <c r="I103" i="4"/>
  <c r="H117" i="4"/>
  <c r="D108" i="4"/>
  <c r="Y108" i="4" s="1" a="1"/>
  <c r="Y108" i="4" s="1"/>
  <c r="I46" i="4"/>
  <c r="O46" i="4" s="1"/>
  <c r="I79" i="4"/>
  <c r="X79" i="4" s="1" a="1"/>
  <c r="X79" i="4" s="1"/>
  <c r="G112" i="4"/>
  <c r="J55" i="4"/>
  <c r="K122" i="4"/>
  <c r="M122" i="4" s="1"/>
  <c r="K30" i="4"/>
  <c r="M30" i="4" s="1"/>
  <c r="C9" i="14"/>
  <c r="E9" i="14" s="1"/>
  <c r="F24" i="4"/>
  <c r="N63" i="4"/>
  <c r="K75" i="4"/>
  <c r="U101" i="4"/>
  <c r="U95" i="4"/>
  <c r="V38" i="4" a="1"/>
  <c r="V38" i="4" s="1"/>
  <c r="Y46" i="4" a="1"/>
  <c r="Y46" i="4" s="1"/>
  <c r="Y98" i="4" a="1"/>
  <c r="Y98" i="4" s="1"/>
  <c r="O32" i="4"/>
  <c r="O104" i="4"/>
  <c r="S104" i="4" s="1" a="1"/>
  <c r="S104" i="4" s="1"/>
  <c r="C6" i="14"/>
  <c r="D6" i="14" s="1"/>
  <c r="E22" i="14"/>
  <c r="D22" i="14"/>
  <c r="E19" i="14"/>
  <c r="D13" i="14"/>
  <c r="E10" i="14"/>
  <c r="E7" i="14"/>
  <c r="D7" i="14"/>
  <c r="D23" i="14"/>
  <c r="E17" i="14"/>
  <c r="E14" i="14"/>
  <c r="E18" i="14"/>
  <c r="U38" i="4"/>
  <c r="N82" i="4"/>
  <c r="F97" i="4"/>
  <c r="F111" i="4"/>
  <c r="X125" i="4" a="1"/>
  <c r="X125" i="4" s="1"/>
  <c r="W133" i="4" a="1"/>
  <c r="W133" i="4" s="1"/>
  <c r="O61" i="4"/>
  <c r="P104" i="4"/>
  <c r="Q104" i="4" s="1"/>
  <c r="W38" i="4" a="1"/>
  <c r="W38" i="4" s="1"/>
  <c r="X38" i="4" a="1"/>
  <c r="X38" i="4" s="1"/>
  <c r="O62" i="4"/>
  <c r="P70" i="4"/>
  <c r="Q70" i="4" s="1"/>
  <c r="O70" i="4"/>
  <c r="F72" i="4"/>
  <c r="U72" i="4"/>
  <c r="U78" i="4"/>
  <c r="F78" i="4"/>
  <c r="V76" i="4" a="1"/>
  <c r="V76" i="4" s="1"/>
  <c r="F76" i="4"/>
  <c r="U76" i="4"/>
  <c r="O86" i="4"/>
  <c r="P91" i="4"/>
  <c r="Q91" i="4" s="1"/>
  <c r="W91" i="4" a="1"/>
  <c r="W91" i="4" s="1"/>
  <c r="O91" i="4"/>
  <c r="F132" i="4"/>
  <c r="U128" i="4"/>
  <c r="P37" i="4"/>
  <c r="O37" i="4"/>
  <c r="F39" i="4"/>
  <c r="U39" i="4"/>
  <c r="V64" i="4" a="1"/>
  <c r="V64" i="4" s="1"/>
  <c r="O124" i="4"/>
  <c r="P124" i="4"/>
  <c r="Q124" i="4" s="1"/>
  <c r="F35" i="4"/>
  <c r="F54" i="4"/>
  <c r="U54" i="4"/>
  <c r="U63" i="4"/>
  <c r="F63" i="4"/>
  <c r="V63" i="4" a="1"/>
  <c r="V63" i="4" s="1"/>
  <c r="U55" i="4"/>
  <c r="F68" i="4"/>
  <c r="U68" i="4"/>
  <c r="F73" i="4"/>
  <c r="O74" i="4"/>
  <c r="F77" i="4"/>
  <c r="U77" i="4"/>
  <c r="N81" i="4"/>
  <c r="N113" i="4"/>
  <c r="P105" i="4"/>
  <c r="Q105" i="4" s="1"/>
  <c r="W105" i="4" a="1"/>
  <c r="W105" i="4" s="1"/>
  <c r="X105" i="4" a="1"/>
  <c r="X105" i="4" s="1"/>
  <c r="F127" i="4"/>
  <c r="U127" i="4"/>
  <c r="O126" i="4"/>
  <c r="W126" i="4" a="1"/>
  <c r="W126" i="4" s="1"/>
  <c r="N126" i="4"/>
  <c r="P45" i="4"/>
  <c r="Q45" i="4" s="1"/>
  <c r="O50" i="4"/>
  <c r="P50" i="4"/>
  <c r="Q50" i="4" s="1"/>
  <c r="U56" i="4"/>
  <c r="F56" i="4"/>
  <c r="U52" i="4"/>
  <c r="F52" i="4"/>
  <c r="O78" i="4"/>
  <c r="P78" i="4"/>
  <c r="Q78" i="4" s="1"/>
  <c r="F74" i="4"/>
  <c r="U74" i="4"/>
  <c r="V88" i="4" a="1"/>
  <c r="V88" i="4" s="1"/>
  <c r="V105" i="4" a="1"/>
  <c r="V105" i="4" s="1"/>
  <c r="X121" i="4" a="1"/>
  <c r="X121" i="4" s="1"/>
  <c r="P127" i="4"/>
  <c r="Q127" i="4" s="1"/>
  <c r="O127" i="4"/>
  <c r="N29" i="4"/>
  <c r="P27" i="4"/>
  <c r="Q27" i="4" s="1"/>
  <c r="O27" i="4"/>
  <c r="O30" i="4"/>
  <c r="O25" i="4"/>
  <c r="X25" i="4" a="1"/>
  <c r="X25" i="4" s="1"/>
  <c r="P33" i="4"/>
  <c r="Q33" i="4" s="1"/>
  <c r="P31" i="4"/>
  <c r="O31" i="4"/>
  <c r="N30" i="4"/>
  <c r="U25" i="4"/>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C12" i="6"/>
  <c r="G12" i="6" s="1" a="1"/>
  <c r="G12" i="6" s="1"/>
  <c r="C16" i="6"/>
  <c r="G16" i="6" s="1" a="1"/>
  <c r="G16" i="6" s="1"/>
  <c r="C20" i="6"/>
  <c r="G20" i="6" s="1" a="1"/>
  <c r="G20" i="6" s="1"/>
  <c r="C23" i="6"/>
  <c r="G23" i="6" s="1" a="1"/>
  <c r="G23" i="6" s="1"/>
  <c r="C15" i="6"/>
  <c r="G15" i="6" s="1" a="1"/>
  <c r="G15" i="6" s="1"/>
  <c r="C7" i="6"/>
  <c r="C5" i="6"/>
  <c r="C9" i="6"/>
  <c r="C13" i="6"/>
  <c r="G13" i="6" s="1" a="1"/>
  <c r="G13" i="6" s="1"/>
  <c r="C17" i="6"/>
  <c r="G17" i="6" s="1" a="1"/>
  <c r="G17" i="6" s="1"/>
  <c r="C21" i="6"/>
  <c r="G21" i="6" s="1" a="1"/>
  <c r="G21" i="6" s="1"/>
  <c r="C22" i="6"/>
  <c r="G22" i="6" s="1" a="1"/>
  <c r="G22" i="6" s="1"/>
  <c r="C14" i="6"/>
  <c r="G14" i="6" s="1" a="1"/>
  <c r="G14" i="6" s="1"/>
  <c r="C6" i="6"/>
  <c r="D6" i="4"/>
  <c r="D14" i="4"/>
  <c r="D22" i="4"/>
  <c r="D10" i="4"/>
  <c r="D7" i="4"/>
  <c r="D11" i="4"/>
  <c r="D15" i="4"/>
  <c r="D19" i="4"/>
  <c r="D23" i="4"/>
  <c r="D5" i="4"/>
  <c r="D9" i="4"/>
  <c r="D13" i="4"/>
  <c r="D17" i="4"/>
  <c r="D21" i="4"/>
  <c r="E21" i="4"/>
  <c r="E17" i="4"/>
  <c r="E13" i="4"/>
  <c r="E9" i="4"/>
  <c r="E5" i="4"/>
  <c r="D18" i="4"/>
  <c r="E23" i="4"/>
  <c r="E19" i="4"/>
  <c r="E15" i="4"/>
  <c r="E11" i="4"/>
  <c r="E7" i="4"/>
  <c r="I19" i="4"/>
  <c r="P19" i="4" s="1"/>
  <c r="Q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Y29" i="4" l="1" a="1"/>
  <c r="Y29" i="4" s="1"/>
  <c r="W25" i="4" a="1"/>
  <c r="W25" i="4" s="1"/>
  <c r="W129" i="4" a="1"/>
  <c r="W129" i="4" s="1"/>
  <c r="N25" i="4"/>
  <c r="X61" i="4" a="1"/>
  <c r="X61" i="4" s="1"/>
  <c r="D9" i="14"/>
  <c r="E20" i="14"/>
  <c r="E24" i="14"/>
  <c r="E25" i="14"/>
  <c r="D8" i="14"/>
  <c r="X94" i="4" a="1"/>
  <c r="X94" i="4" s="1"/>
  <c r="O113" i="4"/>
  <c r="R113" i="4" s="1" a="1"/>
  <c r="R113" i="4" s="1"/>
  <c r="Q26" i="4"/>
  <c r="P67" i="4"/>
  <c r="Q67" i="4" s="1"/>
  <c r="F50" i="4"/>
  <c r="X117" i="4" a="1"/>
  <c r="X117" i="4" s="1"/>
  <c r="V113" i="4" a="1"/>
  <c r="V113" i="4" s="1"/>
  <c r="K125" i="4"/>
  <c r="M125" i="4" s="1"/>
  <c r="W125" i="4" a="1"/>
  <c r="W125" i="4" s="1"/>
  <c r="K118" i="4"/>
  <c r="F88" i="4"/>
  <c r="N84" i="4"/>
  <c r="W45" i="4" a="1"/>
  <c r="W45" i="4" s="1"/>
  <c r="R102" i="4" a="1"/>
  <c r="R102" i="4" s="1"/>
  <c r="O81" i="4"/>
  <c r="S81" i="4" s="1" a="1"/>
  <c r="S81" i="4" s="1"/>
  <c r="T81" i="4" s="1"/>
  <c r="U62" i="4"/>
  <c r="O39" i="4"/>
  <c r="S39" i="4" s="1" a="1"/>
  <c r="S39" i="4" s="1"/>
  <c r="W61" i="4" a="1"/>
  <c r="W61" i="4" s="1"/>
  <c r="U86" i="4"/>
  <c r="O133" i="4"/>
  <c r="P53" i="4"/>
  <c r="Q53" i="4" s="1"/>
  <c r="V101" i="4" a="1"/>
  <c r="V101" i="4" s="1"/>
  <c r="X103" i="4" a="1"/>
  <c r="X103" i="4" s="1"/>
  <c r="L90" i="4"/>
  <c r="X122" i="4" a="1"/>
  <c r="X122" i="4" s="1"/>
  <c r="V123" i="4" a="1"/>
  <c r="V123" i="4" s="1"/>
  <c r="X128" i="4" a="1"/>
  <c r="X128" i="4" s="1"/>
  <c r="W41" i="4" a="1"/>
  <c r="W41" i="4" s="1"/>
  <c r="N99" i="4"/>
  <c r="V118" i="4" a="1"/>
  <c r="V118" i="4" s="1"/>
  <c r="L86" i="4"/>
  <c r="X48" i="4" a="1"/>
  <c r="X48" i="4" s="1"/>
  <c r="V69" i="4" a="1"/>
  <c r="V69" i="4" s="1"/>
  <c r="X53" i="4" a="1"/>
  <c r="X53" i="4" s="1"/>
  <c r="X131" i="4" a="1"/>
  <c r="X131" i="4" s="1"/>
  <c r="N104" i="4"/>
  <c r="N98" i="4"/>
  <c r="N73" i="4"/>
  <c r="N58" i="4"/>
  <c r="N33" i="4"/>
  <c r="V79" i="4" a="1"/>
  <c r="V79" i="4" s="1"/>
  <c r="X67" i="4" a="1"/>
  <c r="X67" i="4" s="1"/>
  <c r="W116" i="4" a="1"/>
  <c r="W116" i="4" s="1"/>
  <c r="O45" i="4"/>
  <c r="S45" i="4" s="1" a="1"/>
  <c r="S45" i="4" s="1"/>
  <c r="T45" i="4" s="1"/>
  <c r="N105" i="4"/>
  <c r="U100" i="4"/>
  <c r="W81" i="4" a="1"/>
  <c r="W81" i="4" s="1"/>
  <c r="P116" i="4"/>
  <c r="Q116" i="4" s="1"/>
  <c r="P61" i="4"/>
  <c r="Q61" i="4" s="1"/>
  <c r="U106" i="4"/>
  <c r="N106" i="4"/>
  <c r="F102" i="4"/>
  <c r="K45" i="4"/>
  <c r="M45" i="4" s="1"/>
  <c r="K100" i="4"/>
  <c r="K60" i="4"/>
  <c r="L60" i="4" s="1"/>
  <c r="X118" i="4" a="1"/>
  <c r="X118" i="4" s="1"/>
  <c r="W117" i="4" a="1"/>
  <c r="W117" i="4" s="1"/>
  <c r="V128" i="4" a="1"/>
  <c r="V128" i="4" s="1"/>
  <c r="N32" i="4"/>
  <c r="V125" i="4" a="1"/>
  <c r="V125" i="4" s="1"/>
  <c r="X29" i="4" a="1"/>
  <c r="X29" i="4" s="1"/>
  <c r="U33" i="4"/>
  <c r="V116" i="4" a="1"/>
  <c r="V116" i="4" s="1"/>
  <c r="N123" i="4"/>
  <c r="X84" i="4" a="1"/>
  <c r="X84" i="4" s="1"/>
  <c r="O116" i="4"/>
  <c r="R116" i="4" s="1" a="1"/>
  <c r="R116" i="4" s="1"/>
  <c r="P133" i="4"/>
  <c r="Q133" i="4" s="1"/>
  <c r="W101" i="4" a="1"/>
  <c r="W101" i="4" s="1"/>
  <c r="O101" i="4"/>
  <c r="S101" i="4" s="1" a="1"/>
  <c r="S101" i="4" s="1"/>
  <c r="T101" i="4" s="1"/>
  <c r="W37" i="4" a="1"/>
  <c r="W37" i="4" s="1"/>
  <c r="W96" i="4" a="1"/>
  <c r="W96" i="4" s="1"/>
  <c r="F26" i="4"/>
  <c r="X27" i="4" a="1"/>
  <c r="X27" i="4" s="1"/>
  <c r="M123" i="4"/>
  <c r="N103" i="4"/>
  <c r="S102" i="4" a="1"/>
  <c r="S102" i="4" s="1"/>
  <c r="T102" i="4" s="1"/>
  <c r="F122" i="4"/>
  <c r="N122" i="4"/>
  <c r="F85" i="4"/>
  <c r="K55" i="4"/>
  <c r="M55" i="4" s="1"/>
  <c r="K25" i="4"/>
  <c r="L25" i="4" s="1"/>
  <c r="K91" i="4"/>
  <c r="M91" i="4" s="1"/>
  <c r="V97" i="4" a="1"/>
  <c r="V97" i="4" s="1"/>
  <c r="W63" i="4" a="1"/>
  <c r="W63" i="4" s="1"/>
  <c r="W77" i="4" a="1"/>
  <c r="W77" i="4" s="1"/>
  <c r="W94" i="4" a="1"/>
  <c r="W94" i="4" s="1"/>
  <c r="V81" i="4" a="1"/>
  <c r="V81" i="4" s="1"/>
  <c r="N72" i="4"/>
  <c r="W74" i="4" a="1"/>
  <c r="W74" i="4" s="1"/>
  <c r="X75" i="4" a="1"/>
  <c r="X75" i="4" s="1"/>
  <c r="V35" i="4" a="1"/>
  <c r="V35" i="4" s="1"/>
  <c r="N26" i="4"/>
  <c r="K36" i="4"/>
  <c r="L36" i="4" s="1"/>
  <c r="X33" i="4" a="1"/>
  <c r="X33" i="4" s="1"/>
  <c r="Q14" i="4"/>
  <c r="N27" i="4"/>
  <c r="O29" i="4"/>
  <c r="S29" i="4" s="1" a="1"/>
  <c r="S29" i="4" s="1"/>
  <c r="T29" i="4" s="1"/>
  <c r="W26" i="4" a="1"/>
  <c r="W26" i="4" s="1"/>
  <c r="L123" i="4"/>
  <c r="F105" i="4"/>
  <c r="L100" i="4"/>
  <c r="W78" i="4" a="1"/>
  <c r="W78" i="4" s="1"/>
  <c r="W64" i="4" a="1"/>
  <c r="W64" i="4" s="1"/>
  <c r="M129" i="4"/>
  <c r="N88" i="4"/>
  <c r="W54" i="4" a="1"/>
  <c r="W54" i="4" s="1"/>
  <c r="P95" i="4"/>
  <c r="Q95" i="4" s="1"/>
  <c r="R32" i="4" a="1"/>
  <c r="R32" i="4" s="1"/>
  <c r="W109" i="4" a="1"/>
  <c r="W109" i="4" s="1"/>
  <c r="O128" i="4"/>
  <c r="N102" i="4"/>
  <c r="W29" i="4" a="1"/>
  <c r="W29" i="4" s="1"/>
  <c r="P123" i="4"/>
  <c r="Q123" i="4" s="1"/>
  <c r="U116" i="4"/>
  <c r="X90" i="4" a="1"/>
  <c r="X90" i="4" s="1"/>
  <c r="P94" i="4"/>
  <c r="Q94" i="4" s="1"/>
  <c r="X96" i="4" a="1"/>
  <c r="X96" i="4" s="1"/>
  <c r="W56" i="4" a="1"/>
  <c r="W56" i="4" s="1"/>
  <c r="X60" i="4" a="1"/>
  <c r="X60" i="4" s="1"/>
  <c r="X93" i="4" a="1"/>
  <c r="X93" i="4" s="1"/>
  <c r="F45" i="4"/>
  <c r="W46" i="4" a="1"/>
  <c r="W46" i="4" s="1"/>
  <c r="N36" i="4"/>
  <c r="K64" i="4"/>
  <c r="M64" i="4" s="1"/>
  <c r="W42" i="4" a="1"/>
  <c r="W42" i="4" s="1"/>
  <c r="M70" i="4"/>
  <c r="V90" i="4" a="1"/>
  <c r="V90" i="4" s="1"/>
  <c r="Q34" i="4"/>
  <c r="Y28" i="4" a="1"/>
  <c r="Y28" i="4" s="1"/>
  <c r="V31" i="4" a="1"/>
  <c r="V31" i="4" s="1"/>
  <c r="V33" i="4" a="1"/>
  <c r="V33" i="4" s="1"/>
  <c r="V65" i="4" a="1"/>
  <c r="V65" i="4" s="1"/>
  <c r="V54" i="4" a="1"/>
  <c r="V54" i="4" s="1"/>
  <c r="N96" i="4"/>
  <c r="X34" i="4" a="1"/>
  <c r="X34" i="4" s="1"/>
  <c r="V27" i="4" a="1"/>
  <c r="V27" i="4" s="1"/>
  <c r="P29" i="4"/>
  <c r="Q29" i="4" s="1"/>
  <c r="Q31" i="4"/>
  <c r="S32" i="4" a="1"/>
  <c r="S32" i="4" s="1"/>
  <c r="T32" i="4" s="1"/>
  <c r="F31" i="4"/>
  <c r="N28" i="4"/>
  <c r="U29" i="4"/>
  <c r="O26" i="4"/>
  <c r="S26" i="4" s="1" a="1"/>
  <c r="S26" i="4" s="1"/>
  <c r="V28" i="4" a="1"/>
  <c r="V28" i="4" s="1"/>
  <c r="W127" i="4" a="1"/>
  <c r="W127" i="4" s="1"/>
  <c r="X123" i="4" a="1"/>
  <c r="X123" i="4" s="1"/>
  <c r="X132" i="4" a="1"/>
  <c r="X132" i="4" s="1"/>
  <c r="F103" i="4"/>
  <c r="X114" i="4" a="1"/>
  <c r="X114" i="4" s="1"/>
  <c r="W100" i="4" a="1"/>
  <c r="W100" i="4" s="1"/>
  <c r="O76" i="4"/>
  <c r="S76" i="4" s="1" a="1"/>
  <c r="S76" i="4" s="1"/>
  <c r="T76" i="4" s="1"/>
  <c r="V67" i="4" a="1"/>
  <c r="V67" i="4" s="1"/>
  <c r="V51" i="4" a="1"/>
  <c r="V51" i="4" s="1"/>
  <c r="N51" i="4"/>
  <c r="X52" i="4" a="1"/>
  <c r="X52" i="4" s="1"/>
  <c r="V71" i="4" a="1"/>
  <c r="V71" i="4" s="1"/>
  <c r="U58" i="4"/>
  <c r="U43" i="4"/>
  <c r="V126" i="4" a="1"/>
  <c r="V126" i="4" s="1"/>
  <c r="V102" i="4" a="1"/>
  <c r="V102" i="4" s="1"/>
  <c r="X73" i="4" a="1"/>
  <c r="X73" i="4" s="1"/>
  <c r="X68" i="4" a="1"/>
  <c r="X68" i="4" s="1"/>
  <c r="N62" i="4"/>
  <c r="W43" i="4" a="1"/>
  <c r="W43" i="4" s="1"/>
  <c r="W70" i="4" a="1"/>
  <c r="W70" i="4" s="1"/>
  <c r="X42" i="4" a="1"/>
  <c r="X42" i="4" s="1"/>
  <c r="N49" i="4"/>
  <c r="N129" i="4"/>
  <c r="N69" i="4"/>
  <c r="K96" i="4"/>
  <c r="M96" i="4" s="1"/>
  <c r="L75" i="4"/>
  <c r="K110" i="4"/>
  <c r="L110" i="4" s="1"/>
  <c r="V74" i="4" a="1"/>
  <c r="V74" i="4" s="1"/>
  <c r="Y30" i="4" a="1"/>
  <c r="Y30" i="4" s="1"/>
  <c r="N66" i="4"/>
  <c r="Y42" i="4" a="1"/>
  <c r="Y42" i="4" s="1"/>
  <c r="Y34" i="4" a="1"/>
  <c r="Y34" i="4" s="1"/>
  <c r="V99" i="4" a="1"/>
  <c r="V99" i="4" s="1"/>
  <c r="N121" i="4"/>
  <c r="W51" i="4" a="1"/>
  <c r="W51" i="4" s="1"/>
  <c r="L54" i="4"/>
  <c r="Y70" i="4" a="1"/>
  <c r="Y70" i="4" s="1"/>
  <c r="K28" i="4"/>
  <c r="M28" i="4" s="1"/>
  <c r="K98" i="4"/>
  <c r="M98" i="4" s="1"/>
  <c r="W28" i="4" a="1"/>
  <c r="W28" i="4" s="1"/>
  <c r="W30" i="4" a="1"/>
  <c r="W30" i="4" s="1"/>
  <c r="U28" i="4"/>
  <c r="N108" i="4"/>
  <c r="O122" i="4"/>
  <c r="S122" i="4" s="1" a="1"/>
  <c r="S122" i="4" s="1"/>
  <c r="T122" i="4" s="1"/>
  <c r="W108" i="4" a="1"/>
  <c r="W108" i="4" s="1"/>
  <c r="F67" i="4"/>
  <c r="X72" i="4" a="1"/>
  <c r="X72" i="4" s="1"/>
  <c r="W71" i="4" a="1"/>
  <c r="W71" i="4" s="1"/>
  <c r="O59" i="4"/>
  <c r="R59" i="4" s="1" a="1"/>
  <c r="R59" i="4" s="1"/>
  <c r="O103" i="4"/>
  <c r="S103" i="4" s="1" a="1"/>
  <c r="S103" i="4" s="1"/>
  <c r="T103" i="4" s="1"/>
  <c r="N111" i="4"/>
  <c r="X56" i="4" a="1"/>
  <c r="X56" i="4" s="1"/>
  <c r="X98" i="4" a="1"/>
  <c r="X98" i="4" s="1"/>
  <c r="O68" i="4"/>
  <c r="R68" i="4" s="1" a="1"/>
  <c r="R68" i="4" s="1"/>
  <c r="Q37" i="4"/>
  <c r="V114" i="4" a="1"/>
  <c r="V114" i="4" s="1"/>
  <c r="O88" i="4"/>
  <c r="R88" i="4" s="1" a="1"/>
  <c r="R88" i="4" s="1"/>
  <c r="W39" i="4" a="1"/>
  <c r="W39" i="4" s="1"/>
  <c r="O112" i="4"/>
  <c r="S112" i="4" s="1" a="1"/>
  <c r="S112" i="4" s="1"/>
  <c r="T112" i="4" s="1"/>
  <c r="O98" i="4"/>
  <c r="R98" i="4" s="1" a="1"/>
  <c r="R98" i="4" s="1"/>
  <c r="Y120" i="4" a="1"/>
  <c r="Y120" i="4" s="1"/>
  <c r="Y78" i="4" a="1"/>
  <c r="Y78" i="4" s="1"/>
  <c r="F109" i="4"/>
  <c r="Y35" i="4" a="1"/>
  <c r="Y35" i="4" s="1"/>
  <c r="O34" i="4"/>
  <c r="R34" i="4" s="1" a="1"/>
  <c r="R34" i="4" s="1"/>
  <c r="O28" i="4"/>
  <c r="R28" i="4" s="1" a="1"/>
  <c r="R28" i="4" s="1"/>
  <c r="W31" i="4" a="1"/>
  <c r="W31" i="4" s="1"/>
  <c r="F34" i="4"/>
  <c r="W128" i="4" a="1"/>
  <c r="W128" i="4" s="1"/>
  <c r="O132" i="4"/>
  <c r="S132" i="4" s="1" a="1"/>
  <c r="S132" i="4" s="1"/>
  <c r="T132" i="4" s="1"/>
  <c r="V103" i="4" a="1"/>
  <c r="V103" i="4" s="1"/>
  <c r="L122" i="4"/>
  <c r="P108" i="4"/>
  <c r="Q108" i="4" s="1"/>
  <c r="W79" i="4" a="1"/>
  <c r="W79" i="4" s="1"/>
  <c r="W76" i="4" a="1"/>
  <c r="W76" i="4" s="1"/>
  <c r="F65" i="4"/>
  <c r="O63" i="4"/>
  <c r="S63" i="4" s="1" a="1"/>
  <c r="S63" i="4" s="1"/>
  <c r="T63" i="4" s="1"/>
  <c r="O64" i="4"/>
  <c r="R64" i="4" s="1" a="1"/>
  <c r="R64" i="4" s="1"/>
  <c r="W59" i="4" a="1"/>
  <c r="W59" i="4" s="1"/>
  <c r="L103" i="4"/>
  <c r="W103" i="4" a="1"/>
  <c r="W103" i="4" s="1"/>
  <c r="P52" i="4"/>
  <c r="Q52" i="4" s="1"/>
  <c r="O51" i="4"/>
  <c r="S51" i="4" s="1" a="1"/>
  <c r="S51" i="4" s="1"/>
  <c r="T51" i="4" s="1"/>
  <c r="V58" i="4" a="1"/>
  <c r="V58" i="4" s="1"/>
  <c r="F43" i="4"/>
  <c r="F118" i="4"/>
  <c r="R101" i="4" a="1"/>
  <c r="R101" i="4" s="1"/>
  <c r="W90" i="4" a="1"/>
  <c r="W90" i="4" s="1"/>
  <c r="W73" i="4" a="1"/>
  <c r="W73" i="4" s="1"/>
  <c r="P54" i="4"/>
  <c r="Q54" i="4" s="1"/>
  <c r="X49" i="4" a="1"/>
  <c r="X49" i="4" s="1"/>
  <c r="O43" i="4"/>
  <c r="R43" i="4" s="1" a="1"/>
  <c r="R43" i="4" s="1"/>
  <c r="U123" i="4"/>
  <c r="W113" i="4" a="1"/>
  <c r="W113" i="4" s="1"/>
  <c r="X86" i="4" a="1"/>
  <c r="X86" i="4" s="1"/>
  <c r="W88" i="4" a="1"/>
  <c r="W88" i="4" s="1"/>
  <c r="N42" i="4"/>
  <c r="X112" i="4" a="1"/>
  <c r="X112" i="4" s="1"/>
  <c r="O48" i="4"/>
  <c r="R48" i="4" s="1" a="1"/>
  <c r="R48" i="4" s="1"/>
  <c r="V45" i="4" a="1"/>
  <c r="V45" i="4" s="1"/>
  <c r="N130" i="4"/>
  <c r="W53" i="4" a="1"/>
  <c r="W53" i="4" s="1"/>
  <c r="U49" i="4"/>
  <c r="D21" i="14"/>
  <c r="D11" i="14"/>
  <c r="V86" i="4" a="1"/>
  <c r="V86" i="4" s="1"/>
  <c r="W102" i="4" a="1"/>
  <c r="W102" i="4" s="1"/>
  <c r="N86" i="4"/>
  <c r="V48" i="4" a="1"/>
  <c r="V48" i="4" s="1"/>
  <c r="N120" i="4"/>
  <c r="N70" i="4"/>
  <c r="K115" i="4"/>
  <c r="M115" i="4" s="1"/>
  <c r="K130" i="4"/>
  <c r="L130" i="4" s="1"/>
  <c r="K80" i="4"/>
  <c r="M80" i="4" s="1"/>
  <c r="N80" i="4"/>
  <c r="K34" i="4"/>
  <c r="M34" i="4" s="1"/>
  <c r="K77" i="4"/>
  <c r="L77" i="4" s="1"/>
  <c r="X89" i="4" a="1"/>
  <c r="X89" i="4" s="1"/>
  <c r="L93" i="4"/>
  <c r="K131" i="4"/>
  <c r="L131" i="4" s="1"/>
  <c r="V42" i="4" a="1"/>
  <c r="V42" i="4" s="1"/>
  <c r="X74" i="4" a="1"/>
  <c r="X74" i="4" s="1"/>
  <c r="V24" i="4" a="1"/>
  <c r="V24" i="4" s="1"/>
  <c r="X59" i="4" a="1"/>
  <c r="X59" i="4" s="1"/>
  <c r="X119" i="4" a="1"/>
  <c r="X119" i="4" s="1"/>
  <c r="V98" i="4" a="1"/>
  <c r="V98" i="4" s="1"/>
  <c r="W123" i="4" a="1"/>
  <c r="W123" i="4" s="1"/>
  <c r="X51" i="4" a="1"/>
  <c r="X51" i="4" s="1"/>
  <c r="K35" i="4"/>
  <c r="L35" i="4" s="1"/>
  <c r="N56" i="4"/>
  <c r="V36" i="4" a="1"/>
  <c r="V36" i="4" s="1"/>
  <c r="X28" i="4" a="1"/>
  <c r="X28" i="4" s="1"/>
  <c r="V29" i="4" a="1"/>
  <c r="V29" i="4" s="1"/>
  <c r="P128" i="4"/>
  <c r="Q128" i="4" s="1"/>
  <c r="W132" i="4" a="1"/>
  <c r="W132" i="4" s="1"/>
  <c r="W122" i="4" a="1"/>
  <c r="W122" i="4" s="1"/>
  <c r="P122" i="4"/>
  <c r="Q122" i="4" s="1"/>
  <c r="X108" i="4" a="1"/>
  <c r="X108" i="4" s="1"/>
  <c r="W99" i="4" a="1"/>
  <c r="W99" i="4" s="1"/>
  <c r="N90" i="4"/>
  <c r="X76" i="4" a="1"/>
  <c r="X76" i="4" s="1"/>
  <c r="X63" i="4" a="1"/>
  <c r="X63" i="4" s="1"/>
  <c r="P64" i="4"/>
  <c r="Q64" i="4" s="1"/>
  <c r="X50" i="4" a="1"/>
  <c r="X50" i="4" s="1"/>
  <c r="P103" i="4"/>
  <c r="Q103" i="4" s="1"/>
  <c r="W52" i="4" a="1"/>
  <c r="W52" i="4" s="1"/>
  <c r="U71" i="4"/>
  <c r="V49" i="4" a="1"/>
  <c r="V49" i="4" s="1"/>
  <c r="U126" i="4"/>
  <c r="U118" i="4"/>
  <c r="W98" i="4" a="1"/>
  <c r="W98" i="4" s="1"/>
  <c r="P73" i="4"/>
  <c r="Q73" i="4" s="1"/>
  <c r="V70" i="4" a="1"/>
  <c r="V70" i="4" s="1"/>
  <c r="X54" i="4" a="1"/>
  <c r="X54" i="4" s="1"/>
  <c r="X43" i="4" a="1"/>
  <c r="X43" i="4" s="1"/>
  <c r="F123" i="4"/>
  <c r="U114" i="4"/>
  <c r="P88" i="4"/>
  <c r="Q88" i="4" s="1"/>
  <c r="N54" i="4"/>
  <c r="X70" i="4" a="1"/>
  <c r="X70" i="4" s="1"/>
  <c r="V50" i="4" a="1"/>
  <c r="V50" i="4" s="1"/>
  <c r="M42" i="4"/>
  <c r="W104" i="4" a="1"/>
  <c r="W104" i="4" s="1"/>
  <c r="P48" i="4"/>
  <c r="Q48" i="4" s="1"/>
  <c r="V82" i="4" a="1"/>
  <c r="V82" i="4" s="1"/>
  <c r="U82" i="4"/>
  <c r="D15" i="14"/>
  <c r="M54" i="4"/>
  <c r="N64" i="4"/>
  <c r="Y66" i="4" a="1"/>
  <c r="Y66" i="4" s="1"/>
  <c r="K65" i="4"/>
  <c r="L65" i="4" s="1"/>
  <c r="V130" i="4" a="1"/>
  <c r="V130" i="4" s="1"/>
  <c r="W33" i="4" a="1"/>
  <c r="W33" i="4" s="1"/>
  <c r="V75" i="4" a="1"/>
  <c r="V75" i="4" s="1"/>
  <c r="V55" i="4" a="1"/>
  <c r="V55" i="4" s="1"/>
  <c r="W111" i="4" a="1"/>
  <c r="W111" i="4" s="1"/>
  <c r="X127" i="4" a="1"/>
  <c r="X127" i="4" s="1"/>
  <c r="W112" i="4" a="1"/>
  <c r="W112" i="4" s="1"/>
  <c r="K83" i="4"/>
  <c r="M83" i="4" s="1"/>
  <c r="W86" i="4" a="1"/>
  <c r="W86" i="4" s="1"/>
  <c r="N46" i="4"/>
  <c r="K48" i="4"/>
  <c r="M48" i="4" s="1"/>
  <c r="N43" i="4"/>
  <c r="K95" i="4"/>
  <c r="M95" i="4" s="1"/>
  <c r="V115" i="4" a="1"/>
  <c r="V115" i="4" s="1"/>
  <c r="V85" i="4" a="1"/>
  <c r="V85" i="4" s="1"/>
  <c r="L70" i="4"/>
  <c r="X37" i="4" a="1"/>
  <c r="X37" i="4" s="1"/>
  <c r="N45" i="4"/>
  <c r="W50" i="4" a="1"/>
  <c r="W50" i="4" s="1"/>
  <c r="X113" i="4" a="1"/>
  <c r="X113" i="4" s="1"/>
  <c r="X47" i="4" a="1"/>
  <c r="X47" i="4" s="1"/>
  <c r="X58" i="4" a="1"/>
  <c r="X58" i="4" s="1"/>
  <c r="V66" i="4" a="1"/>
  <c r="V66" i="4" s="1"/>
  <c r="V109" i="4" a="1"/>
  <c r="V109" i="4" s="1"/>
  <c r="W97" i="4" a="1"/>
  <c r="W97" i="4" s="1"/>
  <c r="U48" i="4"/>
  <c r="W119" i="4" a="1"/>
  <c r="W119" i="4" s="1"/>
  <c r="X69" i="4" a="1"/>
  <c r="X69" i="4" s="1"/>
  <c r="O69" i="4"/>
  <c r="W69" i="4" a="1"/>
  <c r="W69" i="4" s="1"/>
  <c r="P119" i="4"/>
  <c r="Q119" i="4" s="1"/>
  <c r="W58" i="4" a="1"/>
  <c r="W58" i="4" s="1"/>
  <c r="V73" i="4" a="1"/>
  <c r="V73" i="4" s="1"/>
  <c r="S119" i="4" a="1"/>
  <c r="S119" i="4" s="1"/>
  <c r="T119" i="4" s="1"/>
  <c r="X104" i="4" a="1"/>
  <c r="X104" i="4" s="1"/>
  <c r="C87" i="4"/>
  <c r="C28" i="4"/>
  <c r="C17" i="4"/>
  <c r="C15" i="4"/>
  <c r="C103" i="4"/>
  <c r="C76" i="4"/>
  <c r="C8" i="4"/>
  <c r="C132" i="4"/>
  <c r="C68" i="4"/>
  <c r="C36" i="4"/>
  <c r="X66" i="4" a="1"/>
  <c r="X66" i="4" s="1"/>
  <c r="O66" i="4"/>
  <c r="S66" i="4" s="1" a="1"/>
  <c r="S66" i="4" s="1"/>
  <c r="T66" i="4" s="1"/>
  <c r="F41" i="4"/>
  <c r="U41" i="4"/>
  <c r="K74" i="4"/>
  <c r="L74" i="4" s="1"/>
  <c r="N74" i="4"/>
  <c r="W65" i="4" a="1"/>
  <c r="W65" i="4" s="1"/>
  <c r="O65" i="4"/>
  <c r="S65" i="4" s="1" a="1"/>
  <c r="S65" i="4" s="1"/>
  <c r="T65" i="4" s="1"/>
  <c r="O77" i="4"/>
  <c r="R77" i="4" s="1" a="1"/>
  <c r="R77" i="4" s="1"/>
  <c r="P77" i="4"/>
  <c r="Q77" i="4" s="1"/>
  <c r="O106" i="4"/>
  <c r="S106" i="4" s="1" a="1"/>
  <c r="S106" i="4" s="1"/>
  <c r="T106" i="4" s="1"/>
  <c r="L106" i="4"/>
  <c r="O57" i="4"/>
  <c r="R57" i="4" s="1" a="1"/>
  <c r="R57" i="4" s="1"/>
  <c r="X57" i="4" a="1"/>
  <c r="X57" i="4" s="1"/>
  <c r="W57" i="4" a="1"/>
  <c r="W57" i="4" s="1"/>
  <c r="F47" i="4"/>
  <c r="V47" i="4" a="1"/>
  <c r="V47" i="4" s="1"/>
  <c r="U131" i="4"/>
  <c r="V131" i="4" a="1"/>
  <c r="V131" i="4" s="1"/>
  <c r="X87" i="4" a="1"/>
  <c r="X87" i="4" s="1"/>
  <c r="P87" i="4"/>
  <c r="Q87" i="4" s="1"/>
  <c r="Y94" i="4" a="1"/>
  <c r="Y94" i="4" s="1"/>
  <c r="N94" i="4"/>
  <c r="Y71" i="4" a="1"/>
  <c r="Y71" i="4" s="1"/>
  <c r="N71" i="4"/>
  <c r="U46" i="4"/>
  <c r="V46" i="4" a="1"/>
  <c r="V46" i="4" s="1"/>
  <c r="P99" i="4"/>
  <c r="Q99" i="4" s="1"/>
  <c r="O99" i="4"/>
  <c r="Y26" i="4" a="1"/>
  <c r="Y26" i="4" s="1"/>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V26" i="4" a="1"/>
  <c r="V26" i="4" s="1"/>
  <c r="X30" i="4" a="1"/>
  <c r="X30" i="4" s="1"/>
  <c r="X26" i="4" a="1"/>
  <c r="X26" i="4" s="1"/>
  <c r="N117" i="4"/>
  <c r="P114" i="4"/>
  <c r="Q114" i="4" s="1"/>
  <c r="X100" i="4" a="1"/>
  <c r="X100" i="4" s="1"/>
  <c r="N79" i="4"/>
  <c r="O94" i="4"/>
  <c r="R94" i="4" s="1" a="1"/>
  <c r="R94" i="4" s="1"/>
  <c r="P72" i="4"/>
  <c r="Q72" i="4" s="1"/>
  <c r="T104" i="4"/>
  <c r="V100" i="4" a="1"/>
  <c r="V100" i="4" s="1"/>
  <c r="V77" i="4" a="1"/>
  <c r="V77" i="4" s="1"/>
  <c r="N60" i="4"/>
  <c r="N131" i="4"/>
  <c r="O117" i="4"/>
  <c r="S117" i="4" s="1" a="1"/>
  <c r="S117" i="4" s="1"/>
  <c r="T117" i="4" s="1"/>
  <c r="V62" i="4" a="1"/>
  <c r="V62" i="4" s="1"/>
  <c r="F128" i="4"/>
  <c r="W118" i="4" a="1"/>
  <c r="W118" i="4" s="1"/>
  <c r="U117" i="4"/>
  <c r="X106" i="4" a="1"/>
  <c r="X106" i="4" s="1"/>
  <c r="V78" i="4" a="1"/>
  <c r="V78" i="4" s="1"/>
  <c r="X62" i="4" a="1"/>
  <c r="X62" i="4" s="1"/>
  <c r="X95" i="4" a="1"/>
  <c r="X95" i="4" s="1"/>
  <c r="N59" i="4"/>
  <c r="O89" i="4"/>
  <c r="S89" i="4" s="1" a="1"/>
  <c r="S89" i="4" s="1"/>
  <c r="T89" i="4" s="1"/>
  <c r="O87" i="4"/>
  <c r="S87" i="4" s="1" a="1"/>
  <c r="S87" i="4" s="1"/>
  <c r="T87" i="4" s="1"/>
  <c r="X99" i="4" a="1"/>
  <c r="X99" i="4" s="1"/>
  <c r="W87" i="4" a="1"/>
  <c r="W87" i="4" s="1"/>
  <c r="R104" i="4" a="1"/>
  <c r="R104" i="4" s="1"/>
  <c r="P57" i="4"/>
  <c r="Q57" i="4" s="1"/>
  <c r="Y32" i="4" a="1"/>
  <c r="Y32" i="4" s="1"/>
  <c r="K78" i="4"/>
  <c r="L78" i="4" s="1"/>
  <c r="N116" i="4"/>
  <c r="N68" i="4"/>
  <c r="K117" i="4"/>
  <c r="L117" i="4" s="1"/>
  <c r="V129" i="4" a="1"/>
  <c r="V129" i="4" s="1"/>
  <c r="K59" i="4"/>
  <c r="M59" i="4" s="1"/>
  <c r="K32" i="4"/>
  <c r="L32" i="4" s="1"/>
  <c r="W93" i="4" a="1"/>
  <c r="W93" i="4" s="1"/>
  <c r="P93" i="4"/>
  <c r="Q93" i="4" s="1"/>
  <c r="W60" i="4" a="1"/>
  <c r="W60" i="4" s="1"/>
  <c r="O60" i="4"/>
  <c r="R60" i="4" s="1" a="1"/>
  <c r="R60" i="4" s="1"/>
  <c r="X35" i="4" a="1"/>
  <c r="X35" i="4" s="1"/>
  <c r="F91" i="4"/>
  <c r="V91" i="4" a="1"/>
  <c r="V91" i="4" s="1"/>
  <c r="V121" i="4" a="1"/>
  <c r="V121" i="4" s="1"/>
  <c r="K94" i="4"/>
  <c r="M94" i="4" s="1"/>
  <c r="W124" i="4" a="1"/>
  <c r="W124" i="4" s="1"/>
  <c r="K126" i="4"/>
  <c r="L126" i="4" s="1"/>
  <c r="X91" i="4" a="1"/>
  <c r="X91" i="4" s="1"/>
  <c r="K82" i="4"/>
  <c r="M82" i="4" s="1"/>
  <c r="Y82" i="4" a="1"/>
  <c r="Y82" i="4" s="1"/>
  <c r="Y104" i="4" a="1"/>
  <c r="Y104" i="4" s="1"/>
  <c r="K104" i="4"/>
  <c r="L104" i="4" s="1"/>
  <c r="P84" i="4"/>
  <c r="Q84" i="4" s="1"/>
  <c r="O84" i="4"/>
  <c r="K109" i="4"/>
  <c r="N109" i="4"/>
  <c r="V84" i="4" a="1"/>
  <c r="V84" i="4" s="1"/>
  <c r="P32" i="4"/>
  <c r="Q32" i="4" s="1"/>
  <c r="X32" i="4" a="1"/>
  <c r="X32" i="4" s="1"/>
  <c r="P130" i="4"/>
  <c r="Q130" i="4" s="1"/>
  <c r="O130" i="4"/>
  <c r="V72" i="4" a="1"/>
  <c r="V72" i="4" s="1"/>
  <c r="U51" i="4"/>
  <c r="P71" i="4"/>
  <c r="Q71" i="4" s="1"/>
  <c r="W35" i="4" a="1"/>
  <c r="W35" i="4" s="1"/>
  <c r="N57" i="4"/>
  <c r="O56" i="4"/>
  <c r="S56" i="4" s="1" a="1"/>
  <c r="S56" i="4" s="1"/>
  <c r="T56" i="4" s="1"/>
  <c r="F55" i="4"/>
  <c r="N47" i="4"/>
  <c r="L46" i="4"/>
  <c r="V41" i="4" a="1"/>
  <c r="V41" i="4" s="1"/>
  <c r="N35" i="4"/>
  <c r="P117" i="4"/>
  <c r="Q117" i="4" s="1"/>
  <c r="V93" i="4" a="1"/>
  <c r="V93" i="4" s="1"/>
  <c r="U91" i="4"/>
  <c r="N65" i="4"/>
  <c r="W68" i="4" a="1"/>
  <c r="W68" i="4" s="1"/>
  <c r="X41" i="4" a="1"/>
  <c r="X41" i="4" s="1"/>
  <c r="N100" i="4"/>
  <c r="V117" i="4" a="1"/>
  <c r="V117" i="4" s="1"/>
  <c r="X65" i="4" a="1"/>
  <c r="X65" i="4" s="1"/>
  <c r="W66" i="4" a="1"/>
  <c r="W66" i="4" s="1"/>
  <c r="U59" i="4"/>
  <c r="X129" i="4" a="1"/>
  <c r="X129" i="4" s="1"/>
  <c r="P89" i="4"/>
  <c r="Q89" i="4" s="1"/>
  <c r="V94" i="4" a="1"/>
  <c r="V94" i="4" s="1"/>
  <c r="U94" i="4"/>
  <c r="E12" i="14"/>
  <c r="E16" i="14"/>
  <c r="K31" i="4"/>
  <c r="M31" i="4" s="1"/>
  <c r="K47" i="4"/>
  <c r="L47" i="4" s="1"/>
  <c r="K68" i="4"/>
  <c r="M68" i="4" s="1"/>
  <c r="K97" i="4"/>
  <c r="L97" i="4" s="1"/>
  <c r="F46" i="4"/>
  <c r="O110" i="4"/>
  <c r="F69" i="4"/>
  <c r="X110" i="4" a="1"/>
  <c r="X110" i="4" s="1"/>
  <c r="Y99" i="4" a="1"/>
  <c r="Y99" i="4" s="1"/>
  <c r="K99" i="4"/>
  <c r="M99" i="4" s="1"/>
  <c r="P82" i="4"/>
  <c r="Q82" i="4" s="1"/>
  <c r="X82" i="4" a="1"/>
  <c r="X82" i="4" s="1"/>
  <c r="O82" i="4"/>
  <c r="R82" i="4" s="1" a="1"/>
  <c r="R82" i="4" s="1"/>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W34" i="4" a="1"/>
  <c r="W34" i="4" s="1"/>
  <c r="N31" i="4"/>
  <c r="V34" i="4" a="1"/>
  <c r="V34" i="4" s="1"/>
  <c r="N34" i="4"/>
  <c r="V111" i="4" a="1"/>
  <c r="V111" i="4" s="1"/>
  <c r="N128" i="4"/>
  <c r="X102" i="4" a="1"/>
  <c r="X102" i="4" s="1"/>
  <c r="O100" i="4"/>
  <c r="S100" i="4" s="1" a="1"/>
  <c r="S100" i="4" s="1"/>
  <c r="T100" i="4" s="1"/>
  <c r="W84" i="4" a="1"/>
  <c r="W84" i="4" s="1"/>
  <c r="N77" i="4"/>
  <c r="O72" i="4"/>
  <c r="R72" i="4" s="1" a="1"/>
  <c r="R72" i="4" s="1"/>
  <c r="V56" i="4" a="1"/>
  <c r="V56" i="4" s="1"/>
  <c r="P35" i="4"/>
  <c r="Q35" i="4" s="1"/>
  <c r="X126" i="4" a="1"/>
  <c r="X126" i="4" s="1"/>
  <c r="N127" i="4"/>
  <c r="X111" i="4" a="1"/>
  <c r="X111" i="4" s="1"/>
  <c r="N38" i="4"/>
  <c r="X124" i="4" a="1"/>
  <c r="X124" i="4" s="1"/>
  <c r="U93" i="4"/>
  <c r="X77" i="4" a="1"/>
  <c r="X77" i="4" s="1"/>
  <c r="N67" i="4"/>
  <c r="F70" i="4"/>
  <c r="P60" i="4"/>
  <c r="Q60" i="4" s="1"/>
  <c r="P55" i="4"/>
  <c r="Q55" i="4" s="1"/>
  <c r="O58" i="4"/>
  <c r="S58" i="4" s="1" a="1"/>
  <c r="S58" i="4" s="1"/>
  <c r="T58" i="4" s="1"/>
  <c r="P41" i="4"/>
  <c r="Q41" i="4" s="1"/>
  <c r="V132" i="4" a="1"/>
  <c r="V132" i="4" s="1"/>
  <c r="P118" i="4"/>
  <c r="Q118" i="4" s="1"/>
  <c r="V122" i="4" a="1"/>
  <c r="V122" i="4" s="1"/>
  <c r="N93" i="4"/>
  <c r="W106" i="4" a="1"/>
  <c r="W106" i="4" s="1"/>
  <c r="P86" i="4"/>
  <c r="Q86" i="4" s="1"/>
  <c r="P65" i="4"/>
  <c r="Q65" i="4" s="1"/>
  <c r="O67" i="4"/>
  <c r="R67" i="4" s="1" a="1"/>
  <c r="R67" i="4" s="1"/>
  <c r="W62" i="4" a="1"/>
  <c r="W62" i="4" s="1"/>
  <c r="F59" i="4"/>
  <c r="X39" i="4" a="1"/>
  <c r="X39" i="4" s="1"/>
  <c r="W95" i="4" a="1"/>
  <c r="W95" i="4" s="1"/>
  <c r="W48" i="4" a="1"/>
  <c r="W48" i="4" s="1"/>
  <c r="W130" i="4" a="1"/>
  <c r="W130" i="4" s="1"/>
  <c r="X46" i="4" a="1"/>
  <c r="X46" i="4" s="1"/>
  <c r="P102" i="4"/>
  <c r="Q102" i="4" s="1"/>
  <c r="F131" i="4"/>
  <c r="K128" i="4"/>
  <c r="M128" i="4" s="1"/>
  <c r="W36" i="4" a="1"/>
  <c r="W36" i="4" s="1"/>
  <c r="L118" i="4"/>
  <c r="W131" i="4" a="1"/>
  <c r="W131" i="4" s="1"/>
  <c r="K111" i="4"/>
  <c r="L111" i="4" s="1"/>
  <c r="V95" i="4" a="1"/>
  <c r="V95" i="4" s="1"/>
  <c r="N97" i="4"/>
  <c r="N101" i="4"/>
  <c r="W32" i="4" a="1"/>
  <c r="W32" i="4" s="1"/>
  <c r="K88" i="4"/>
  <c r="W110" i="4" a="1"/>
  <c r="W110" i="4" s="1"/>
  <c r="N118" i="4"/>
  <c r="F106" i="4"/>
  <c r="N110" i="4"/>
  <c r="L45" i="4"/>
  <c r="M60" i="4"/>
  <c r="K72" i="4"/>
  <c r="K6" i="4"/>
  <c r="M6" i="4" s="1"/>
  <c r="M75" i="4"/>
  <c r="K85" i="4"/>
  <c r="M85" i="4" s="1"/>
  <c r="L82" i="4"/>
  <c r="K22" i="4"/>
  <c r="M22" i="4" s="1"/>
  <c r="X83" i="4" a="1"/>
  <c r="X83" i="4" s="1"/>
  <c r="W83" i="4" a="1"/>
  <c r="W83" i="4" s="1"/>
  <c r="O83" i="4"/>
  <c r="P83" i="4"/>
  <c r="Q83" i="4" s="1"/>
  <c r="O96" i="4"/>
  <c r="P96" i="4"/>
  <c r="Q96" i="4" s="1"/>
  <c r="F42" i="4"/>
  <c r="U42" i="4"/>
  <c r="F37" i="4"/>
  <c r="U37" i="4"/>
  <c r="V37" i="4" a="1"/>
  <c r="V37" i="4" s="1"/>
  <c r="K107" i="4"/>
  <c r="L107" i="4" s="1"/>
  <c r="K24" i="4"/>
  <c r="Y24" i="4" a="1"/>
  <c r="Y24" i="4" s="1"/>
  <c r="N24" i="4"/>
  <c r="Y61" i="4" a="1"/>
  <c r="Y61" i="4" s="1"/>
  <c r="N61" i="4"/>
  <c r="F125" i="4"/>
  <c r="U125" i="4"/>
  <c r="Y112" i="4" a="1"/>
  <c r="Y112" i="4" s="1"/>
  <c r="N112" i="4"/>
  <c r="O109" i="4"/>
  <c r="P109" i="4"/>
  <c r="Q109" i="4" s="1"/>
  <c r="U30" i="4"/>
  <c r="V30" i="4" a="1"/>
  <c r="V30" i="4" s="1"/>
  <c r="F30" i="4"/>
  <c r="U81" i="4"/>
  <c r="F81" i="4"/>
  <c r="P120" i="4"/>
  <c r="Q120" i="4" s="1"/>
  <c r="X120" i="4" a="1"/>
  <c r="X120" i="4" s="1"/>
  <c r="O120" i="4"/>
  <c r="W120" i="4" a="1"/>
  <c r="W120" i="4" s="1"/>
  <c r="P80" i="4"/>
  <c r="Q80" i="4" s="1"/>
  <c r="W80" i="4" a="1"/>
  <c r="W80" i="4" s="1"/>
  <c r="O80" i="4"/>
  <c r="O40" i="4"/>
  <c r="P40" i="4"/>
  <c r="Q40" i="4" s="1"/>
  <c r="W40" i="4" a="1"/>
  <c r="W40" i="4" s="1"/>
  <c r="X40" i="4" a="1"/>
  <c r="X40" i="4" s="1"/>
  <c r="U121" i="4"/>
  <c r="F121" i="4"/>
  <c r="K124" i="4"/>
  <c r="L124" i="4" s="1"/>
  <c r="F104" i="4"/>
  <c r="V104" i="4" a="1"/>
  <c r="V104" i="4" s="1"/>
  <c r="U104" i="4"/>
  <c r="F89" i="4"/>
  <c r="V89" i="4" a="1"/>
  <c r="V89" i="4" s="1"/>
  <c r="U89" i="4"/>
  <c r="O75" i="4"/>
  <c r="P75" i="4"/>
  <c r="Q75" i="4" s="1"/>
  <c r="Y44" i="4" a="1"/>
  <c r="Y44" i="4" s="1"/>
  <c r="N44" i="4"/>
  <c r="U32" i="4"/>
  <c r="F32" i="4"/>
  <c r="V32" i="4" a="1"/>
  <c r="V32" i="4" s="1"/>
  <c r="K119" i="4"/>
  <c r="L119" i="4" s="1"/>
  <c r="U98" i="4"/>
  <c r="F98" i="4"/>
  <c r="K40" i="4"/>
  <c r="L40" i="4" s="1"/>
  <c r="K51" i="4"/>
  <c r="K39" i="4"/>
  <c r="L39" i="4" s="1"/>
  <c r="K27" i="4"/>
  <c r="K56" i="4"/>
  <c r="U53" i="4"/>
  <c r="F53" i="4"/>
  <c r="V53" i="4" a="1"/>
  <c r="V53" i="4" s="1"/>
  <c r="K112" i="4"/>
  <c r="L112" i="4" s="1"/>
  <c r="Y87" i="4" a="1"/>
  <c r="Y87" i="4" s="1"/>
  <c r="N87" i="4"/>
  <c r="Y83" i="4" a="1"/>
  <c r="Y83" i="4" s="1"/>
  <c r="N83" i="4"/>
  <c r="V110" i="4" a="1"/>
  <c r="V110" i="4" s="1"/>
  <c r="U110" i="4"/>
  <c r="F110" i="4"/>
  <c r="U80" i="4"/>
  <c r="F80" i="4"/>
  <c r="U97" i="4"/>
  <c r="O115" i="4"/>
  <c r="P115" i="4"/>
  <c r="Q115" i="4" s="1"/>
  <c r="X115" i="4" a="1"/>
  <c r="X115" i="4" s="1"/>
  <c r="Y89" i="4" a="1"/>
  <c r="Y89" i="4" s="1"/>
  <c r="N89" i="4"/>
  <c r="F129" i="4"/>
  <c r="U129" i="4"/>
  <c r="P129" i="4"/>
  <c r="Q129" i="4" s="1"/>
  <c r="O129" i="4"/>
  <c r="O85" i="4"/>
  <c r="P85" i="4"/>
  <c r="Q85" i="4" s="1"/>
  <c r="X85" i="4" a="1"/>
  <c r="X85" i="4" s="1"/>
  <c r="W85" i="4" a="1"/>
  <c r="W85" i="4" s="1"/>
  <c r="F115" i="4"/>
  <c r="U115" i="4"/>
  <c r="F83" i="4"/>
  <c r="V83" i="4" a="1"/>
  <c r="V83" i="4" s="1"/>
  <c r="U83" i="4"/>
  <c r="U84" i="4"/>
  <c r="F84" i="4"/>
  <c r="X80" i="4" a="1"/>
  <c r="X80" i="4" s="1"/>
  <c r="F130" i="4"/>
  <c r="U130" i="4"/>
  <c r="F92" i="4"/>
  <c r="U92" i="4"/>
  <c r="V92" i="4" a="1"/>
  <c r="V92" i="4" s="1"/>
  <c r="V87" i="4" a="1"/>
  <c r="V87" i="4" s="1"/>
  <c r="U87" i="4"/>
  <c r="F87" i="4"/>
  <c r="Y76" i="4" a="1"/>
  <c r="Y76" i="4" s="1"/>
  <c r="N76" i="4"/>
  <c r="Y40" i="4" a="1"/>
  <c r="Y40" i="4" s="1"/>
  <c r="N40" i="4"/>
  <c r="F133" i="4"/>
  <c r="V133" i="4" a="1"/>
  <c r="V133" i="4" s="1"/>
  <c r="U133" i="4"/>
  <c r="U120" i="4"/>
  <c r="V120" i="4" a="1"/>
  <c r="V120" i="4" s="1"/>
  <c r="F120" i="4"/>
  <c r="K92" i="4"/>
  <c r="L92" i="4" s="1"/>
  <c r="N52" i="4"/>
  <c r="Y52" i="4" a="1"/>
  <c r="Y52" i="4" s="1"/>
  <c r="K87" i="4"/>
  <c r="K61" i="4"/>
  <c r="Y124" i="4" a="1"/>
  <c r="Y124" i="4" s="1"/>
  <c r="N124" i="4"/>
  <c r="U112" i="4"/>
  <c r="V112" i="4" a="1"/>
  <c r="V112" i="4" s="1"/>
  <c r="F112" i="4"/>
  <c r="F96" i="4"/>
  <c r="U96" i="4"/>
  <c r="F60" i="4"/>
  <c r="U60" i="4"/>
  <c r="V40" i="4" a="1"/>
  <c r="V40" i="4" s="1"/>
  <c r="F40" i="4"/>
  <c r="U40" i="4"/>
  <c r="K49" i="4"/>
  <c r="K29" i="4"/>
  <c r="Q8" i="4"/>
  <c r="Q12" i="4"/>
  <c r="Q5" i="4"/>
  <c r="Q22" i="4"/>
  <c r="L125" i="4"/>
  <c r="O93" i="4"/>
  <c r="R93" i="4" s="1" a="1"/>
  <c r="R93" i="4" s="1"/>
  <c r="P66" i="4"/>
  <c r="Q66" i="4" s="1"/>
  <c r="L66" i="4"/>
  <c r="N39" i="4"/>
  <c r="P46" i="4"/>
  <c r="Q46" i="4" s="1"/>
  <c r="M100" i="4"/>
  <c r="K67" i="4"/>
  <c r="L67" i="4" s="1"/>
  <c r="K33" i="4"/>
  <c r="L33" i="4" s="1"/>
  <c r="K121" i="4"/>
  <c r="L121" i="4" s="1"/>
  <c r="W75" i="4" a="1"/>
  <c r="W75" i="4" s="1"/>
  <c r="V60" i="4" a="1"/>
  <c r="V60" i="4" s="1"/>
  <c r="K127" i="4"/>
  <c r="M127" i="4" s="1"/>
  <c r="Y25" i="4" a="1"/>
  <c r="Y25" i="4" s="1"/>
  <c r="K81" i="4"/>
  <c r="L81" i="4" s="1"/>
  <c r="V119" i="4" a="1"/>
  <c r="V119" i="4" s="1"/>
  <c r="F119" i="4"/>
  <c r="U119" i="4"/>
  <c r="V44" i="4" a="1"/>
  <c r="V44" i="4" s="1"/>
  <c r="F44" i="4"/>
  <c r="U44" i="4"/>
  <c r="K43" i="4"/>
  <c r="F79" i="4"/>
  <c r="U79" i="4"/>
  <c r="K116" i="4"/>
  <c r="L116" i="4" s="1"/>
  <c r="U57" i="4"/>
  <c r="F57" i="4"/>
  <c r="U113" i="4"/>
  <c r="F113" i="4"/>
  <c r="K101" i="4"/>
  <c r="L101" i="4" s="1"/>
  <c r="Y53" i="4" a="1"/>
  <c r="Y53" i="4" s="1"/>
  <c r="N53" i="4"/>
  <c r="N125" i="4"/>
  <c r="P36" i="4"/>
  <c r="Q36" i="4" s="1"/>
  <c r="O36" i="4"/>
  <c r="X36" i="4" a="1"/>
  <c r="X36" i="4" s="1"/>
  <c r="P125" i="4"/>
  <c r="Q125" i="4" s="1"/>
  <c r="O125" i="4"/>
  <c r="Y114" i="4" a="1"/>
  <c r="Y114" i="4" s="1"/>
  <c r="N114" i="4"/>
  <c r="P90" i="4"/>
  <c r="Q90" i="4" s="1"/>
  <c r="O90" i="4"/>
  <c r="Y85" i="4" a="1"/>
  <c r="Y85" i="4" s="1"/>
  <c r="N85" i="4"/>
  <c r="K52" i="4"/>
  <c r="L52" i="4" s="1"/>
  <c r="Y132" i="4" a="1"/>
  <c r="Y132" i="4" s="1"/>
  <c r="N132" i="4"/>
  <c r="Y92" i="4" a="1"/>
  <c r="Y92" i="4" s="1"/>
  <c r="N92" i="4"/>
  <c r="U64" i="4"/>
  <c r="F64" i="4"/>
  <c r="K133" i="4"/>
  <c r="L133" i="4" s="1"/>
  <c r="F108" i="4"/>
  <c r="U108" i="4"/>
  <c r="K37" i="4"/>
  <c r="L37" i="4" s="1"/>
  <c r="K132" i="4"/>
  <c r="L132" i="4" s="1"/>
  <c r="P121" i="4"/>
  <c r="Q121" i="4" s="1"/>
  <c r="O121" i="4"/>
  <c r="K76" i="4"/>
  <c r="L76" i="4" s="1"/>
  <c r="Y55" i="4" a="1"/>
  <c r="Y55" i="4" s="1"/>
  <c r="N55" i="4"/>
  <c r="O38" i="4"/>
  <c r="P38" i="4"/>
  <c r="Q38" i="4" s="1"/>
  <c r="K105" i="4"/>
  <c r="L105" i="4" s="1"/>
  <c r="K57" i="4"/>
  <c r="M57" i="4" s="1"/>
  <c r="K38" i="4"/>
  <c r="U66" i="4"/>
  <c r="F66" i="4"/>
  <c r="Q21" i="4"/>
  <c r="Q16" i="4"/>
  <c r="W114" i="4" a="1"/>
  <c r="W114" i="4" s="1"/>
  <c r="X55" i="4" a="1"/>
  <c r="X55" i="4" s="1"/>
  <c r="W55" i="4" a="1"/>
  <c r="W55" i="4" s="1"/>
  <c r="W121" i="4" a="1"/>
  <c r="W121" i="4" s="1"/>
  <c r="N91" i="4"/>
  <c r="W89" i="4" a="1"/>
  <c r="W89" i="4" s="1"/>
  <c r="N48" i="4"/>
  <c r="K108" i="4"/>
  <c r="M108" i="4" s="1"/>
  <c r="K113" i="4"/>
  <c r="L113" i="4" s="1"/>
  <c r="K63" i="4"/>
  <c r="O79" i="4"/>
  <c r="P79" i="4"/>
  <c r="Q79" i="4" s="1"/>
  <c r="K41" i="4"/>
  <c r="L41" i="4" s="1"/>
  <c r="W115" i="4" a="1"/>
  <c r="W115" i="4" s="1"/>
  <c r="P47" i="4"/>
  <c r="Q47" i="4" s="1"/>
  <c r="O47" i="4"/>
  <c r="O42" i="4"/>
  <c r="P42" i="4"/>
  <c r="Q42" i="4" s="1"/>
  <c r="O97" i="4"/>
  <c r="S97" i="4" s="1" a="1"/>
  <c r="S97" i="4" s="1"/>
  <c r="T97" i="4" s="1"/>
  <c r="P97" i="4"/>
  <c r="Q97" i="4" s="1"/>
  <c r="Y41" i="4" a="1"/>
  <c r="Y41" i="4" s="1"/>
  <c r="N41" i="4"/>
  <c r="Y133" i="4" a="1"/>
  <c r="Y133" i="4" s="1"/>
  <c r="N133" i="4"/>
  <c r="Y95" i="4" a="1"/>
  <c r="Y95" i="4" s="1"/>
  <c r="N95" i="4"/>
  <c r="O44" i="4"/>
  <c r="W44" i="4" a="1"/>
  <c r="W44" i="4" s="1"/>
  <c r="X44" i="4" a="1"/>
  <c r="X44" i="4" s="1"/>
  <c r="P44" i="4"/>
  <c r="Q44" i="4" s="1"/>
  <c r="P49" i="4"/>
  <c r="Q49" i="4" s="1"/>
  <c r="O49" i="4"/>
  <c r="Y119" i="4" a="1"/>
  <c r="Y119" i="4" s="1"/>
  <c r="N119" i="4"/>
  <c r="K71" i="4"/>
  <c r="R119" i="4" a="1"/>
  <c r="R119" i="4" s="1"/>
  <c r="K50" i="4"/>
  <c r="K69" i="4"/>
  <c r="V124" i="4" a="1"/>
  <c r="V124" i="4" s="1"/>
  <c r="F124" i="4"/>
  <c r="U124" i="4"/>
  <c r="P107" i="4"/>
  <c r="Q107" i="4" s="1"/>
  <c r="O107" i="4"/>
  <c r="W107" i="4" a="1"/>
  <c r="W107" i="4" s="1"/>
  <c r="X107" i="4" a="1"/>
  <c r="X107" i="4" s="1"/>
  <c r="K44" i="4"/>
  <c r="O24" i="4"/>
  <c r="W24" i="4" a="1"/>
  <c r="W24" i="4" s="1"/>
  <c r="P24" i="4"/>
  <c r="Q24" i="4" s="1"/>
  <c r="X24" i="4" a="1"/>
  <c r="X24" i="4" s="1"/>
  <c r="P111" i="4"/>
  <c r="Q111" i="4" s="1"/>
  <c r="O111" i="4"/>
  <c r="F90" i="4"/>
  <c r="U90" i="4"/>
  <c r="U61" i="4"/>
  <c r="V61" i="4" a="1"/>
  <c r="V61" i="4" s="1"/>
  <c r="F61" i="4"/>
  <c r="Y107" i="4" a="1"/>
  <c r="Y107" i="4" s="1"/>
  <c r="N107" i="4"/>
  <c r="P92" i="4"/>
  <c r="Q92" i="4" s="1"/>
  <c r="O92" i="4"/>
  <c r="X92" i="4" a="1"/>
  <c r="X92" i="4" s="1"/>
  <c r="W92" i="4" a="1"/>
  <c r="W92" i="4" s="1"/>
  <c r="K53" i="4"/>
  <c r="L53" i="4" s="1"/>
  <c r="F36" i="4"/>
  <c r="U36" i="4"/>
  <c r="O131" i="4"/>
  <c r="R131" i="4" s="1" a="1"/>
  <c r="R131" i="4" s="1"/>
  <c r="P131" i="4"/>
  <c r="Q131" i="4" s="1"/>
  <c r="K89" i="4"/>
  <c r="L89" i="4" s="1"/>
  <c r="F75" i="4"/>
  <c r="U75" i="4"/>
  <c r="Y37" i="4" a="1"/>
  <c r="Y37" i="4" s="1"/>
  <c r="N37" i="4"/>
  <c r="K73" i="4"/>
  <c r="K58" i="4"/>
  <c r="K79" i="4"/>
  <c r="F99" i="4"/>
  <c r="U99" i="4"/>
  <c r="V107" i="4" a="1"/>
  <c r="V107" i="4" s="1"/>
  <c r="F107" i="4"/>
  <c r="U107" i="4"/>
  <c r="K114" i="4"/>
  <c r="L114" i="4" s="1"/>
  <c r="K5" i="4"/>
  <c r="M5" i="4" s="1"/>
  <c r="K8" i="4"/>
  <c r="M8" i="4" s="1"/>
  <c r="M86" i="4"/>
  <c r="Y19" i="4" a="1"/>
  <c r="Y19" i="4" s="1"/>
  <c r="Y15" i="4" a="1"/>
  <c r="Y15" i="4" s="1"/>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Y4" i="4" a="1"/>
  <c r="Y4" i="4" s="1"/>
  <c r="Y12" i="4" a="1"/>
  <c r="Y12" i="4" s="1"/>
  <c r="Y13" i="4" a="1"/>
  <c r="Y13" i="4" s="1"/>
  <c r="Q18" i="4"/>
  <c r="Y16" i="4" a="1"/>
  <c r="Y16" i="4" s="1"/>
  <c r="Y17" i="4" a="1"/>
  <c r="Y17" i="4" s="1"/>
  <c r="Y23" i="4" a="1"/>
  <c r="Y23" i="4" s="1"/>
  <c r="Y7" i="4" a="1"/>
  <c r="Y7" i="4" s="1"/>
  <c r="Y6" i="4" a="1"/>
  <c r="Y6" i="4" s="1"/>
  <c r="D9" i="7"/>
  <c r="H9" i="7" s="1"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62" i="4"/>
  <c r="Q7" i="4"/>
  <c r="M118" i="4"/>
  <c r="E6" i="14"/>
  <c r="R95" i="4" a="1"/>
  <c r="R95" i="4" s="1"/>
  <c r="S95" i="4" a="1"/>
  <c r="S95" i="4" s="1"/>
  <c r="T95" i="4" s="1"/>
  <c r="R61" i="4" a="1"/>
  <c r="R61" i="4" s="1"/>
  <c r="S61" i="4" a="1"/>
  <c r="S61" i="4" s="1"/>
  <c r="T61" i="4" s="1"/>
  <c r="R53" i="4" a="1"/>
  <c r="R53" i="4" s="1"/>
  <c r="S53" i="4" a="1"/>
  <c r="S53" i="4" s="1"/>
  <c r="T53" i="4" s="1"/>
  <c r="R133" i="4" a="1"/>
  <c r="R133" i="4" s="1"/>
  <c r="S133" i="4" a="1"/>
  <c r="S133" i="4" s="1"/>
  <c r="T133" i="4" s="1"/>
  <c r="V21" i="4" a="1"/>
  <c r="V21" i="4" s="1"/>
  <c r="M120" i="4"/>
  <c r="L120" i="4"/>
  <c r="R89" i="4" a="1"/>
  <c r="R89" i="4" s="1"/>
  <c r="S82" i="4" a="1"/>
  <c r="S82" i="4" s="1"/>
  <c r="T82" i="4" s="1"/>
  <c r="S46" i="4" a="1"/>
  <c r="S46" i="4" s="1"/>
  <c r="T46" i="4" s="1"/>
  <c r="R46" i="4" a="1"/>
  <c r="R46" i="4" s="1"/>
  <c r="S127" i="4" a="1"/>
  <c r="S127" i="4" s="1"/>
  <c r="T127" i="4" s="1"/>
  <c r="R127" i="4" a="1"/>
  <c r="R127" i="4" s="1"/>
  <c r="R50" i="4" a="1"/>
  <c r="R50" i="4" s="1"/>
  <c r="S50" i="4" a="1"/>
  <c r="S50" i="4" s="1"/>
  <c r="T50" i="4" s="1"/>
  <c r="R35" i="4" a="1"/>
  <c r="R35" i="4" s="1"/>
  <c r="S35" i="4" a="1"/>
  <c r="S35" i="4" s="1"/>
  <c r="T35" i="4" s="1"/>
  <c r="S91" i="4" a="1"/>
  <c r="S91" i="4" s="1"/>
  <c r="T91" i="4" s="1"/>
  <c r="R91" i="4" a="1"/>
  <c r="R91" i="4" s="1"/>
  <c r="R106" i="4" a="1"/>
  <c r="R106" i="4" s="1"/>
  <c r="R128" i="4" a="1"/>
  <c r="R128" i="4" s="1"/>
  <c r="S128" i="4" a="1"/>
  <c r="S128" i="4" s="1"/>
  <c r="T128" i="4" s="1"/>
  <c r="S108" i="4" a="1"/>
  <c r="S108" i="4" s="1"/>
  <c r="T108" i="4" s="1"/>
  <c r="R108" i="4" a="1"/>
  <c r="R108" i="4" s="1"/>
  <c r="S71" i="4" a="1"/>
  <c r="S71" i="4" s="1"/>
  <c r="T71" i="4" s="1"/>
  <c r="R71" i="4" a="1"/>
  <c r="R71" i="4" s="1"/>
  <c r="S74" i="4" a="1"/>
  <c r="S74" i="4" s="1"/>
  <c r="T74" i="4" s="1"/>
  <c r="R74" i="4" a="1"/>
  <c r="R74" i="4" s="1"/>
  <c r="R124" i="4" a="1"/>
  <c r="R124" i="4" s="1"/>
  <c r="S124" i="4" a="1"/>
  <c r="S124" i="4" s="1"/>
  <c r="T124" i="4" s="1"/>
  <c r="M102" i="4"/>
  <c r="M90" i="4"/>
  <c r="R54" i="4" a="1"/>
  <c r="R54" i="4" s="1"/>
  <c r="S54" i="4" a="1"/>
  <c r="S54" i="4" s="1"/>
  <c r="T54" i="4" s="1"/>
  <c r="S43" i="4" a="1"/>
  <c r="S43" i="4" s="1"/>
  <c r="T43" i="4" s="1"/>
  <c r="R37" i="4" a="1"/>
  <c r="R37" i="4" s="1"/>
  <c r="S37" i="4" a="1"/>
  <c r="S37" i="4" s="1"/>
  <c r="T37" i="4" s="1"/>
  <c r="R118" i="4" a="1"/>
  <c r="R118" i="4" s="1"/>
  <c r="S118" i="4" a="1"/>
  <c r="S118" i="4" s="1"/>
  <c r="T118" i="4" s="1"/>
  <c r="M103" i="4"/>
  <c r="S123" i="4" a="1"/>
  <c r="S123" i="4" s="1"/>
  <c r="T123" i="4" s="1"/>
  <c r="R123" i="4" a="1"/>
  <c r="R123" i="4" s="1"/>
  <c r="R114" i="4" a="1"/>
  <c r="R114" i="4" s="1"/>
  <c r="S114" i="4" a="1"/>
  <c r="S114" i="4" s="1"/>
  <c r="T114" i="4" s="1"/>
  <c r="S78" i="4" a="1"/>
  <c r="S78" i="4" s="1"/>
  <c r="T78" i="4" s="1"/>
  <c r="R78" i="4" a="1"/>
  <c r="R78" i="4" s="1"/>
  <c r="S126" i="4" a="1"/>
  <c r="S126" i="4" s="1"/>
  <c r="T126" i="4" s="1"/>
  <c r="R126" i="4" a="1"/>
  <c r="R126" i="4" s="1"/>
  <c r="S105" i="4" a="1"/>
  <c r="S105" i="4" s="1"/>
  <c r="T105" i="4" s="1"/>
  <c r="R105" i="4" a="1"/>
  <c r="R105" i="4" s="1"/>
  <c r="R81" i="4" a="1"/>
  <c r="R81" i="4" s="1"/>
  <c r="M84" i="4"/>
  <c r="S41" i="4" a="1"/>
  <c r="S41" i="4" s="1"/>
  <c r="T41" i="4" s="1"/>
  <c r="R41" i="4" a="1"/>
  <c r="R41" i="4" s="1"/>
  <c r="S116" i="4" a="1"/>
  <c r="S116" i="4" s="1"/>
  <c r="T116" i="4" s="1"/>
  <c r="S70" i="4" a="1"/>
  <c r="S70" i="4" s="1"/>
  <c r="T70" i="4" s="1"/>
  <c r="R70" i="4" a="1"/>
  <c r="R70" i="4" s="1"/>
  <c r="S62" i="4" a="1"/>
  <c r="S62" i="4" s="1"/>
  <c r="T62" i="4" s="1"/>
  <c r="R62" i="4" a="1"/>
  <c r="R62" i="4" s="1"/>
  <c r="M33" i="4"/>
  <c r="R100" i="4" a="1"/>
  <c r="R100" i="4" s="1"/>
  <c r="S52" i="4" a="1"/>
  <c r="S52" i="4" s="1"/>
  <c r="T52" i="4" s="1"/>
  <c r="R52" i="4" a="1"/>
  <c r="R52" i="4" s="1"/>
  <c r="R73" i="4" a="1"/>
  <c r="R73" i="4" s="1"/>
  <c r="S73" i="4" a="1"/>
  <c r="S73" i="4" s="1"/>
  <c r="T73" i="4" s="1"/>
  <c r="S55" i="4" a="1"/>
  <c r="S55" i="4" s="1"/>
  <c r="T55" i="4" s="1"/>
  <c r="R55" i="4" a="1"/>
  <c r="R55" i="4" s="1"/>
  <c r="S86" i="4" a="1"/>
  <c r="S86" i="4" s="1"/>
  <c r="T86" i="4" s="1"/>
  <c r="R86" i="4" a="1"/>
  <c r="R86" i="4" s="1"/>
  <c r="S28" i="4" a="1"/>
  <c r="S28" i="4" s="1"/>
  <c r="R29" i="4" a="1"/>
  <c r="R29" i="4" s="1"/>
  <c r="M26" i="4"/>
  <c r="L30" i="4"/>
  <c r="S33" i="4" a="1"/>
  <c r="S33" i="4" s="1"/>
  <c r="T33" i="4" s="1"/>
  <c r="R33" i="4" a="1"/>
  <c r="R33" i="4" s="1"/>
  <c r="S25" i="4" a="1"/>
  <c r="S25" i="4" s="1"/>
  <c r="R25" i="4" a="1"/>
  <c r="R25" i="4" s="1"/>
  <c r="S31" i="4" a="1"/>
  <c r="S31" i="4" s="1"/>
  <c r="R31" i="4" a="1"/>
  <c r="R31" i="4" s="1"/>
  <c r="S30" i="4" a="1"/>
  <c r="S30" i="4" s="1"/>
  <c r="R30" i="4" a="1"/>
  <c r="R30" i="4" s="1"/>
  <c r="R27" i="4" a="1"/>
  <c r="R27" i="4" s="1"/>
  <c r="S27" i="4" a="1"/>
  <c r="S27" i="4" s="1"/>
  <c r="X17" i="4" a="1"/>
  <c r="X17" i="4" s="1"/>
  <c r="P17" i="4"/>
  <c r="Q17" i="4" s="1"/>
  <c r="D9" i="12"/>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V4" i="4" a="1"/>
  <c r="V4" i="4" s="1"/>
  <c r="X22" i="4" a="1"/>
  <c r="X22" i="4" s="1"/>
  <c r="X12" i="4" a="1"/>
  <c r="X12" i="4" s="1"/>
  <c r="X16" i="4" a="1"/>
  <c r="X16" i="4" s="1"/>
  <c r="X18" i="4" a="1"/>
  <c r="X18" i="4" s="1"/>
  <c r="E8" i="8"/>
  <c r="E7" i="8"/>
  <c r="F18" i="8"/>
  <c r="D15" i="8"/>
  <c r="U15" i="8" s="1" a="1"/>
  <c r="U15" i="8" s="1"/>
  <c r="F17" i="8"/>
  <c r="F14" i="8"/>
  <c r="X10" i="4" a="1"/>
  <c r="X10" i="4" s="1"/>
  <c r="X7" i="4" a="1"/>
  <c r="X7" i="4" s="1"/>
  <c r="V5" i="4" a="1"/>
  <c r="V5" i="4" s="1"/>
  <c r="X23" i="4" a="1"/>
  <c r="X23" i="4" s="1"/>
  <c r="V10" i="4" a="1"/>
  <c r="V10" i="4" s="1"/>
  <c r="X19" i="4" a="1"/>
  <c r="X19" i="4" s="1"/>
  <c r="X20" i="4" a="1"/>
  <c r="X20" i="4" s="1"/>
  <c r="X6" i="4" a="1"/>
  <c r="X6" i="4" s="1"/>
  <c r="X4" i="4" a="1"/>
  <c r="X4" i="4" s="1"/>
  <c r="X15" i="4" a="1"/>
  <c r="X15" i="4" s="1"/>
  <c r="W21" i="4" a="1"/>
  <c r="W21" i="4" s="1"/>
  <c r="X21" i="4" a="1"/>
  <c r="X21" i="4" s="1"/>
  <c r="W5" i="4" a="1"/>
  <c r="W5" i="4" s="1"/>
  <c r="X5" i="4" a="1"/>
  <c r="X5" i="4" s="1"/>
  <c r="X9" i="4" a="1"/>
  <c r="X9" i="4" s="1"/>
  <c r="X13" i="4" a="1"/>
  <c r="X13" i="4" s="1"/>
  <c r="V14" i="4" a="1"/>
  <c r="V14" i="4" s="1"/>
  <c r="V7" i="4" a="1"/>
  <c r="V7" i="4" s="1"/>
  <c r="V23" i="4" a="1"/>
  <c r="V23" i="4" s="1"/>
  <c r="V13" i="4" a="1"/>
  <c r="V13" i="4" s="1"/>
  <c r="X8" i="4" a="1"/>
  <c r="X8" i="4" s="1"/>
  <c r="X14" i="4" a="1"/>
  <c r="X14" i="4" s="1"/>
  <c r="X11" i="4" a="1"/>
  <c r="X11" i="4" s="1"/>
  <c r="V8" i="4" a="1"/>
  <c r="V8" i="4" s="1"/>
  <c r="V11" i="4" a="1"/>
  <c r="V11" i="4" s="1"/>
  <c r="E20" i="8"/>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G8" i="8"/>
  <c r="F15" i="8"/>
  <c r="G15" i="8"/>
  <c r="D9" i="8"/>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O21" i="4"/>
  <c r="O22" i="4"/>
  <c r="N4" i="4"/>
  <c r="N22" i="4"/>
  <c r="N10" i="4"/>
  <c r="N5" i="4"/>
  <c r="D4" i="8"/>
  <c r="N17" i="4"/>
  <c r="N16" i="4"/>
  <c r="N6" i="4"/>
  <c r="N23" i="4"/>
  <c r="N18" i="4"/>
  <c r="N12" i="4"/>
  <c r="N7" i="4"/>
  <c r="N13" i="4"/>
  <c r="N21" i="4"/>
  <c r="N8" i="4"/>
  <c r="N14" i="4"/>
  <c r="N9" i="4"/>
  <c r="L8" i="4"/>
  <c r="R45" i="4" l="1" a="1"/>
  <c r="R45" i="4" s="1"/>
  <c r="S113" i="4" a="1"/>
  <c r="S113" i="4" s="1"/>
  <c r="T113" i="4" s="1"/>
  <c r="M131" i="4"/>
  <c r="S98" i="4" a="1"/>
  <c r="S98" i="4" s="1"/>
  <c r="T98" i="4" s="1"/>
  <c r="R122" i="4" a="1"/>
  <c r="R122" i="4" s="1"/>
  <c r="M36" i="4"/>
  <c r="R39" i="4" a="1"/>
  <c r="R39" i="4" s="1"/>
  <c r="M35" i="4"/>
  <c r="L23" i="4"/>
  <c r="R58" i="4" a="1"/>
  <c r="R58" i="4" s="1"/>
  <c r="L55" i="4"/>
  <c r="L7" i="4"/>
  <c r="L4" i="4"/>
  <c r="R51" i="4" a="1"/>
  <c r="R51" i="4" s="1"/>
  <c r="S60" i="4" a="1"/>
  <c r="S60" i="4" s="1"/>
  <c r="T60" i="4" s="1"/>
  <c r="R87" i="4" a="1"/>
  <c r="R87" i="4" s="1"/>
  <c r="L22" i="4"/>
  <c r="M113" i="4"/>
  <c r="M111" i="4"/>
  <c r="M25" i="4"/>
  <c r="L48" i="4"/>
  <c r="L115" i="4"/>
  <c r="M32" i="4"/>
  <c r="L34" i="4"/>
  <c r="S57" i="4" a="1"/>
  <c r="S57" i="4" s="1"/>
  <c r="T57" i="4" s="1"/>
  <c r="M9" i="4"/>
  <c r="S67" i="4" a="1"/>
  <c r="S67" i="4" s="1"/>
  <c r="T67" i="4" s="1"/>
  <c r="S59" i="4" a="1"/>
  <c r="S59" i="4" s="1"/>
  <c r="T59" i="4" s="1"/>
  <c r="S68" i="4" a="1"/>
  <c r="S68" i="4" s="1"/>
  <c r="T68" i="4" s="1"/>
  <c r="R76" i="4" a="1"/>
  <c r="R76" i="4" s="1"/>
  <c r="S77" i="4" a="1"/>
  <c r="S77" i="4" s="1"/>
  <c r="T77" i="4" s="1"/>
  <c r="S88" i="4" a="1"/>
  <c r="S88" i="4" s="1"/>
  <c r="T88" i="4" s="1"/>
  <c r="S64" i="4" a="1"/>
  <c r="S64" i="4" s="1"/>
  <c r="T64" i="4" s="1"/>
  <c r="L108" i="4"/>
  <c r="R65" i="4" a="1"/>
  <c r="R65" i="4" s="1"/>
  <c r="R117" i="4" a="1"/>
  <c r="R117" i="4" s="1"/>
  <c r="R132" i="4" a="1"/>
  <c r="R132" i="4" s="1"/>
  <c r="S48" i="4" a="1"/>
  <c r="S48" i="4" s="1"/>
  <c r="T48" i="4" s="1"/>
  <c r="R112" i="4" a="1"/>
  <c r="R112" i="4" s="1"/>
  <c r="M110" i="4"/>
  <c r="L98" i="4"/>
  <c r="L80" i="4"/>
  <c r="L64" i="4"/>
  <c r="L28" i="4"/>
  <c r="L6" i="4"/>
  <c r="L68" i="4"/>
  <c r="L16" i="4"/>
  <c r="L11" i="4"/>
  <c r="T27" i="4"/>
  <c r="S72" i="4" a="1"/>
  <c r="S72" i="4" s="1"/>
  <c r="T72" i="4" s="1"/>
  <c r="L128" i="4"/>
  <c r="M39" i="4"/>
  <c r="L95" i="4"/>
  <c r="L13" i="4"/>
  <c r="L21" i="4"/>
  <c r="T30" i="4"/>
  <c r="R66" i="4" a="1"/>
  <c r="R66" i="4" s="1"/>
  <c r="R56" i="4" a="1"/>
  <c r="R56" i="4" s="1"/>
  <c r="L14" i="4"/>
  <c r="L12" i="4"/>
  <c r="R26" i="4" a="1"/>
  <c r="R26" i="4" s="1"/>
  <c r="S34" i="4" a="1"/>
  <c r="S34" i="4" s="1"/>
  <c r="T34" i="4" s="1"/>
  <c r="T39" i="4"/>
  <c r="S93" i="4" a="1"/>
  <c r="S93" i="4" s="1"/>
  <c r="T93" i="4" s="1"/>
  <c r="R103" i="4" a="1"/>
  <c r="R103" i="4" s="1"/>
  <c r="R63" i="4" a="1"/>
  <c r="R63" i="4" s="1"/>
  <c r="M77" i="4"/>
  <c r="M67" i="4"/>
  <c r="M97" i="4"/>
  <c r="M74" i="4"/>
  <c r="L96" i="4"/>
  <c r="T28" i="4"/>
  <c r="T31" i="4"/>
  <c r="L10" i="4"/>
  <c r="L31" i="4"/>
  <c r="L59" i="4"/>
  <c r="M65" i="4"/>
  <c r="L83" i="4"/>
  <c r="M130" i="4"/>
  <c r="M89" i="4"/>
  <c r="M132" i="4"/>
  <c r="M116" i="4"/>
  <c r="L99" i="4"/>
  <c r="M78" i="4"/>
  <c r="S69" i="4" a="1"/>
  <c r="S69" i="4" s="1"/>
  <c r="T69" i="4" s="1"/>
  <c r="R69" i="4" a="1"/>
  <c r="R69" i="4" s="1"/>
  <c r="T26" i="4"/>
  <c r="M121" i="4"/>
  <c r="S94" i="4" a="1"/>
  <c r="S94" i="4" s="1"/>
  <c r="T94" i="4" s="1"/>
  <c r="M47" i="4"/>
  <c r="M105" i="4"/>
  <c r="L85" i="4"/>
  <c r="L94" i="4"/>
  <c r="M109" i="4"/>
  <c r="L109" i="4"/>
  <c r="M126" i="4"/>
  <c r="R99" i="4" a="1"/>
  <c r="R99" i="4" s="1"/>
  <c r="S99" i="4" a="1"/>
  <c r="S99" i="4" s="1"/>
  <c r="T99" i="4" s="1"/>
  <c r="E9" i="12" a="1"/>
  <c r="E9" i="12" s="1"/>
  <c r="F9" i="12" s="1" a="1"/>
  <c r="F9" i="12" s="1"/>
  <c r="M117" i="4"/>
  <c r="M104" i="4"/>
  <c r="S84" i="4" a="1"/>
  <c r="S84" i="4" s="1"/>
  <c r="T84" i="4" s="1"/>
  <c r="R84" i="4" a="1"/>
  <c r="R84" i="4" s="1"/>
  <c r="M20" i="4"/>
  <c r="M92" i="4"/>
  <c r="M40" i="4"/>
  <c r="M119" i="4"/>
  <c r="L88" i="4"/>
  <c r="M88" i="4"/>
  <c r="S110" i="4" a="1"/>
  <c r="S110" i="4" s="1"/>
  <c r="T110" i="4" s="1"/>
  <c r="R110" i="4" a="1"/>
  <c r="R110" i="4" s="1"/>
  <c r="S130" i="4" a="1"/>
  <c r="S130" i="4" s="1"/>
  <c r="T130" i="4" s="1"/>
  <c r="R130" i="4" a="1"/>
  <c r="R130" i="4" s="1"/>
  <c r="M72" i="4"/>
  <c r="L72" i="4"/>
  <c r="T25" i="4"/>
  <c r="L57" i="4"/>
  <c r="R97" i="4" a="1"/>
  <c r="R97" i="4" s="1"/>
  <c r="M73" i="4"/>
  <c r="L73" i="4"/>
  <c r="R111" i="4" a="1"/>
  <c r="R111" i="4" s="1"/>
  <c r="S111" i="4" a="1"/>
  <c r="S111" i="4" s="1"/>
  <c r="T111" i="4" s="1"/>
  <c r="R49" i="4" a="1"/>
  <c r="R49" i="4" s="1"/>
  <c r="S49" i="4" a="1"/>
  <c r="S49" i="4" s="1"/>
  <c r="T49" i="4" s="1"/>
  <c r="S47" i="4" a="1"/>
  <c r="S47" i="4" s="1"/>
  <c r="T47" i="4" s="1"/>
  <c r="R47" i="4" a="1"/>
  <c r="R47" i="4" s="1"/>
  <c r="L56" i="4"/>
  <c r="M56" i="4"/>
  <c r="R75" i="4" a="1"/>
  <c r="R75" i="4" s="1"/>
  <c r="S75" i="4" a="1"/>
  <c r="S75" i="4" s="1"/>
  <c r="T75" i="4" s="1"/>
  <c r="S80" i="4" a="1"/>
  <c r="S80" i="4" s="1"/>
  <c r="T80" i="4" s="1"/>
  <c r="R80" i="4" a="1"/>
  <c r="R80" i="4" s="1"/>
  <c r="S120" i="4" a="1"/>
  <c r="S120" i="4" s="1"/>
  <c r="T120" i="4" s="1"/>
  <c r="R120" i="4" a="1"/>
  <c r="R120" i="4" s="1"/>
  <c r="S96" i="4" a="1"/>
  <c r="S96" i="4" s="1"/>
  <c r="T96" i="4" s="1"/>
  <c r="R96" i="4" a="1"/>
  <c r="R96" i="4" s="1"/>
  <c r="R24" i="4" a="1"/>
  <c r="R24" i="4" s="1"/>
  <c r="S24" i="4" a="1"/>
  <c r="S24" i="4" s="1"/>
  <c r="R107" i="4" a="1"/>
  <c r="R107" i="4" s="1"/>
  <c r="S107" i="4" a="1"/>
  <c r="S107" i="4" s="1"/>
  <c r="T107" i="4" s="1"/>
  <c r="M71" i="4"/>
  <c r="L71" i="4"/>
  <c r="S44" i="4" a="1"/>
  <c r="S44" i="4" s="1"/>
  <c r="T44" i="4" s="1"/>
  <c r="R44" i="4" a="1"/>
  <c r="R44" i="4" s="1"/>
  <c r="M43" i="4"/>
  <c r="L43" i="4"/>
  <c r="L61" i="4"/>
  <c r="M61" i="4"/>
  <c r="S85" i="4" a="1"/>
  <c r="S85" i="4" s="1"/>
  <c r="T85" i="4" s="1"/>
  <c r="R85" i="4" a="1"/>
  <c r="R85" i="4" s="1"/>
  <c r="M27" i="4"/>
  <c r="L27" i="4"/>
  <c r="R109" i="4" a="1"/>
  <c r="R109" i="4" s="1"/>
  <c r="S109" i="4" a="1"/>
  <c r="S109" i="4" s="1"/>
  <c r="T109" i="4" s="1"/>
  <c r="M81" i="4"/>
  <c r="L79" i="4"/>
  <c r="M79" i="4"/>
  <c r="M44" i="4"/>
  <c r="L44" i="4"/>
  <c r="L69" i="4"/>
  <c r="M69" i="4"/>
  <c r="S79" i="4" a="1"/>
  <c r="S79" i="4" s="1"/>
  <c r="T79" i="4" s="1"/>
  <c r="R79" i="4" a="1"/>
  <c r="R79" i="4" s="1"/>
  <c r="L38" i="4"/>
  <c r="M38" i="4"/>
  <c r="S38" i="4" a="1"/>
  <c r="S38" i="4" s="1"/>
  <c r="T38" i="4" s="1"/>
  <c r="R38" i="4" a="1"/>
  <c r="R38" i="4" s="1"/>
  <c r="M76" i="4"/>
  <c r="R36" i="4" a="1"/>
  <c r="R36" i="4" s="1"/>
  <c r="S36" i="4" a="1"/>
  <c r="S36" i="4" s="1"/>
  <c r="T36" i="4" s="1"/>
  <c r="M29" i="4"/>
  <c r="L29" i="4"/>
  <c r="L87" i="4"/>
  <c r="M87" i="4"/>
  <c r="S129" i="4" a="1"/>
  <c r="S129" i="4" s="1"/>
  <c r="T129" i="4" s="1"/>
  <c r="R129" i="4" a="1"/>
  <c r="R129" i="4" s="1"/>
  <c r="R115" i="4" a="1"/>
  <c r="R115" i="4" s="1"/>
  <c r="S115" i="4" a="1"/>
  <c r="S115" i="4" s="1"/>
  <c r="T115" i="4" s="1"/>
  <c r="M112" i="4"/>
  <c r="S40" i="4" a="1"/>
  <c r="S40" i="4" s="1"/>
  <c r="T40" i="4" s="1"/>
  <c r="R40" i="4" a="1"/>
  <c r="R40" i="4" s="1"/>
  <c r="L24" i="4"/>
  <c r="M24" i="4"/>
  <c r="S131" i="4" a="1"/>
  <c r="S131" i="4" s="1"/>
  <c r="T131" i="4" s="1"/>
  <c r="R83" i="4" a="1"/>
  <c r="R83" i="4" s="1"/>
  <c r="S83" i="4" a="1"/>
  <c r="S83" i="4" s="1"/>
  <c r="T83" i="4" s="1"/>
  <c r="M114" i="4"/>
  <c r="M58" i="4"/>
  <c r="L58" i="4"/>
  <c r="M53" i="4"/>
  <c r="R92" i="4" a="1"/>
  <c r="R92" i="4" s="1"/>
  <c r="S92" i="4" a="1"/>
  <c r="S92" i="4" s="1"/>
  <c r="T92" i="4" s="1"/>
  <c r="L50" i="4"/>
  <c r="M50" i="4"/>
  <c r="S42" i="4" a="1"/>
  <c r="S42" i="4" s="1"/>
  <c r="T42" i="4" s="1"/>
  <c r="R42" i="4" a="1"/>
  <c r="R42" i="4" s="1"/>
  <c r="M41" i="4"/>
  <c r="M63" i="4"/>
  <c r="L63" i="4"/>
  <c r="R121" i="4" a="1"/>
  <c r="R121" i="4" s="1"/>
  <c r="S121" i="4" a="1"/>
  <c r="S121" i="4" s="1"/>
  <c r="T121" i="4" s="1"/>
  <c r="M37" i="4"/>
  <c r="M133" i="4"/>
  <c r="M52" i="4"/>
  <c r="S90" i="4" a="1"/>
  <c r="S90" i="4" s="1"/>
  <c r="T90" i="4" s="1"/>
  <c r="R90" i="4" a="1"/>
  <c r="R90" i="4" s="1"/>
  <c r="S125" i="4" a="1"/>
  <c r="S125" i="4" s="1"/>
  <c r="T125" i="4" s="1"/>
  <c r="R125" i="4" a="1"/>
  <c r="R125" i="4" s="1"/>
  <c r="M101" i="4"/>
  <c r="L49" i="4"/>
  <c r="M49" i="4"/>
  <c r="M51" i="4"/>
  <c r="L51" i="4"/>
  <c r="M124" i="4"/>
  <c r="M107" i="4"/>
  <c r="L17" i="4"/>
  <c r="L11" i="8" a="1"/>
  <c r="L11" i="8" s="1"/>
  <c r="T11" i="8" s="1" a="1"/>
  <c r="T11" i="8" s="1"/>
  <c r="L20" i="8" a="1"/>
  <c r="L20" i="8" s="1"/>
  <c r="T20" i="8" s="1" a="1"/>
  <c r="T20" i="8" s="1"/>
  <c r="L4" i="8" a="1"/>
  <c r="L4" i="8" s="1"/>
  <c r="T4" i="8" s="1" a="1"/>
  <c r="T4" i="8" s="1"/>
  <c r="K8" i="8" a="1"/>
  <c r="K8" i="8" s="1"/>
  <c r="O12" i="8" a="1"/>
  <c r="O12" i="8" s="1"/>
  <c r="K19" i="8" a="1"/>
  <c r="K19" i="8" s="1"/>
  <c r="L22" i="8" a="1"/>
  <c r="L22" i="8" s="1"/>
  <c r="T22" i="8" s="1" a="1"/>
  <c r="T22" i="8" s="1"/>
  <c r="L6" i="8" a="1"/>
  <c r="L6" i="8" s="1"/>
  <c r="T6" i="8" s="1" a="1"/>
  <c r="T6" i="8" s="1"/>
  <c r="K10" i="8" a="1"/>
  <c r="K10" i="8" s="1"/>
  <c r="O14" i="8" a="1"/>
  <c r="O14" i="8" s="1"/>
  <c r="L7" i="8" a="1"/>
  <c r="L7" i="8" s="1"/>
  <c r="T7" i="8" s="1" a="1"/>
  <c r="T7" i="8" s="1"/>
  <c r="L21" i="8" a="1"/>
  <c r="L21" i="8" s="1"/>
  <c r="T21" i="8" s="1" a="1"/>
  <c r="T21" i="8" s="1"/>
  <c r="L5" i="8" a="1"/>
  <c r="L5" i="8" s="1"/>
  <c r="K9" i="8" a="1"/>
  <c r="K9" i="8" s="1"/>
  <c r="O13" i="8" a="1"/>
  <c r="O13" i="8" s="1"/>
  <c r="K23" i="8" a="1"/>
  <c r="K23" i="8" s="1"/>
  <c r="L16" i="8" a="1"/>
  <c r="L16" i="8" s="1"/>
  <c r="T16" i="8" s="1" a="1"/>
  <c r="T16" i="8" s="1"/>
  <c r="K20" i="8" a="1"/>
  <c r="K20" i="8" s="1"/>
  <c r="K4" i="8" a="1"/>
  <c r="K4" i="8" s="1"/>
  <c r="O8" i="8" a="1"/>
  <c r="O8" i="8" s="1"/>
  <c r="K7" i="8" a="1"/>
  <c r="K7" i="8" s="1"/>
  <c r="L18" i="8" a="1"/>
  <c r="L18" i="8" s="1"/>
  <c r="T18" i="8" s="1" a="1"/>
  <c r="T18" i="8" s="1"/>
  <c r="K22" i="8" a="1"/>
  <c r="K22" i="8" s="1"/>
  <c r="K6" i="8" a="1"/>
  <c r="K6" i="8" s="1"/>
  <c r="O10" i="8" a="1"/>
  <c r="O10" i="8" s="1"/>
  <c r="K15" i="8" a="1"/>
  <c r="K15" i="8" s="1"/>
  <c r="L17" i="8" a="1"/>
  <c r="L17" i="8" s="1"/>
  <c r="T17" i="8" s="1" a="1"/>
  <c r="T17" i="8" s="1"/>
  <c r="K21" i="8" a="1"/>
  <c r="K21" i="8" s="1"/>
  <c r="K5" i="8" a="1"/>
  <c r="K5" i="8" s="1"/>
  <c r="S5" i="8" s="1" a="1"/>
  <c r="S5" i="8" s="1"/>
  <c r="O9" i="8" a="1"/>
  <c r="O9" i="8" s="1"/>
  <c r="K11" i="8" a="1"/>
  <c r="K11" i="8" s="1"/>
  <c r="L12" i="8" a="1"/>
  <c r="L12" i="8" s="1"/>
  <c r="T12" i="8" s="1" a="1"/>
  <c r="T12" i="8" s="1"/>
  <c r="K16" i="8" a="1"/>
  <c r="K16" i="8" s="1"/>
  <c r="O20" i="8" a="1"/>
  <c r="O20" i="8" s="1"/>
  <c r="O4" i="8" a="1"/>
  <c r="O4" i="8" s="1"/>
  <c r="O19" i="8" a="1"/>
  <c r="O19" i="8" s="1"/>
  <c r="L14" i="8" a="1"/>
  <c r="L14" i="8" s="1"/>
  <c r="T14" i="8" s="1" a="1"/>
  <c r="T14" i="8" s="1"/>
  <c r="K18" i="8" a="1"/>
  <c r="K18" i="8" s="1"/>
  <c r="S18" i="8" s="1" a="1"/>
  <c r="S18" i="8" s="1"/>
  <c r="O22" i="8" a="1"/>
  <c r="O22" i="8" s="1"/>
  <c r="O6" i="8" a="1"/>
  <c r="O6" i="8" s="1"/>
  <c r="O23" i="8" a="1"/>
  <c r="O23" i="8" s="1"/>
  <c r="L13" i="8" a="1"/>
  <c r="L13" i="8" s="1"/>
  <c r="T13" i="8" s="1" a="1"/>
  <c r="T13" i="8" s="1"/>
  <c r="K17" i="8" a="1"/>
  <c r="K17" i="8" s="1"/>
  <c r="S17" i="8" s="1" a="1"/>
  <c r="S17" i="8" s="1"/>
  <c r="O21" i="8" a="1"/>
  <c r="O21" i="8" s="1"/>
  <c r="O5" i="8" a="1"/>
  <c r="O5" i="8" s="1"/>
  <c r="L23" i="8" a="1"/>
  <c r="L23" i="8" s="1"/>
  <c r="T23" i="8" s="1" a="1"/>
  <c r="T23" i="8" s="1"/>
  <c r="O11" i="8" a="1"/>
  <c r="O11" i="8" s="1"/>
  <c r="L8" i="8" a="1"/>
  <c r="L8" i="8" s="1"/>
  <c r="T8" i="8" s="1" a="1"/>
  <c r="T8" i="8" s="1"/>
  <c r="K12" i="8" a="1"/>
  <c r="K12" i="8" s="1"/>
  <c r="O16" i="8" a="1"/>
  <c r="O16" i="8" s="1"/>
  <c r="L15" i="8" a="1"/>
  <c r="L15" i="8" s="1"/>
  <c r="T15" i="8" s="1" a="1"/>
  <c r="T15" i="8" s="1"/>
  <c r="O7" i="8" a="1"/>
  <c r="O7" i="8" s="1"/>
  <c r="L10" i="8" a="1"/>
  <c r="L10" i="8" s="1"/>
  <c r="T10" i="8" s="1" a="1"/>
  <c r="T10" i="8" s="1"/>
  <c r="K14" i="8" a="1"/>
  <c r="K14" i="8" s="1"/>
  <c r="O18" i="8" a="1"/>
  <c r="O18" i="8" s="1"/>
  <c r="L19" i="8" a="1"/>
  <c r="L19" i="8" s="1"/>
  <c r="T19" i="8" s="1" a="1"/>
  <c r="T19" i="8" s="1"/>
  <c r="O15" i="8" a="1"/>
  <c r="O15" i="8" s="1"/>
  <c r="L9" i="8" a="1"/>
  <c r="L9" i="8" s="1"/>
  <c r="T9" i="8" s="1" a="1"/>
  <c r="T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I10" i="8" a="1"/>
  <c r="I10" i="8" s="1"/>
  <c r="Q10" i="8" s="1" a="1"/>
  <c r="Q10" i="8" s="1"/>
  <c r="I8" i="8" a="1"/>
  <c r="I8" i="8" s="1"/>
  <c r="Q8" i="8" s="1" a="1"/>
  <c r="Q8" i="8" s="1"/>
  <c r="I7" i="8" a="1"/>
  <c r="I7" i="8" s="1"/>
  <c r="Q7" i="8" s="1" a="1"/>
  <c r="Q7" i="8" s="1"/>
  <c r="I6" i="8" a="1"/>
  <c r="I6" i="8" s="1"/>
  <c r="Q6" i="8" s="1" a="1"/>
  <c r="Q6" i="8" s="1"/>
  <c r="I5" i="8" a="1"/>
  <c r="I5" i="8" s="1"/>
  <c r="Q5" i="8" s="1" a="1"/>
  <c r="Q5" i="8" s="1"/>
  <c r="F5" i="7" a="1"/>
  <c r="F5" i="7" s="1"/>
  <c r="I23" i="8" a="1"/>
  <c r="I23" i="8" s="1"/>
  <c r="Q23" i="8" s="1" a="1"/>
  <c r="Q23" i="8" s="1"/>
  <c r="I22" i="8" a="1"/>
  <c r="I22" i="8" s="1"/>
  <c r="Q22" i="8" s="1" a="1"/>
  <c r="Q22" i="8" s="1"/>
  <c r="I21" i="8" a="1"/>
  <c r="I21" i="8" s="1"/>
  <c r="Q21" i="8" s="1" a="1"/>
  <c r="Q21" i="8" s="1"/>
  <c r="I16" i="8" a="1"/>
  <c r="I16" i="8" s="1"/>
  <c r="Q16" i="8" s="1" a="1"/>
  <c r="Q16"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I4" i="8" a="1"/>
  <c r="I4" i="8" s="1"/>
  <c r="Q4" i="8" s="1" a="1"/>
  <c r="Q4" i="8" s="1"/>
  <c r="N6" i="8" a="1"/>
  <c r="N6" i="8" s="1"/>
  <c r="F18" i="6" a="1"/>
  <c r="F18" i="6" s="1"/>
  <c r="F13" i="6" a="1"/>
  <c r="F13" i="6" s="1"/>
  <c r="F14" i="6" a="1"/>
  <c r="F14" i="6" s="1"/>
  <c r="F9" i="6" a="1"/>
  <c r="F9" i="6" s="1"/>
  <c r="F20" i="6" a="1"/>
  <c r="F20" i="6" s="1"/>
  <c r="F23" i="6" a="1"/>
  <c r="F23" i="6" s="1"/>
  <c r="N20" i="8" a="1"/>
  <c r="N20" i="8" s="1"/>
  <c r="N5" i="8" a="1"/>
  <c r="N5" i="8" s="1"/>
  <c r="H6" i="11" a="1"/>
  <c r="H6" i="11" s="1"/>
  <c r="J6" i="11" s="1" a="1"/>
  <c r="J6" i="11" s="1"/>
  <c r="H7" i="11" a="1"/>
  <c r="H7" i="11" s="1"/>
  <c r="J7" i="11" s="1" a="1"/>
  <c r="J7" i="11" s="1"/>
  <c r="H5" i="11" a="1"/>
  <c r="H5" i="11" s="1"/>
  <c r="J5" i="11" s="1" a="1"/>
  <c r="J5" i="11" s="1"/>
  <c r="F10" i="6" a="1"/>
  <c r="F10" i="6" s="1"/>
  <c r="F21" i="6" a="1"/>
  <c r="F21" i="6" s="1"/>
  <c r="F16" i="6" a="1"/>
  <c r="F16" i="6" s="1"/>
  <c r="F15" i="6" a="1"/>
  <c r="F15" i="6" s="1"/>
  <c r="N15" i="8" a="1"/>
  <c r="N15" i="8" s="1"/>
  <c r="F22" i="6" a="1"/>
  <c r="F22" i="6" s="1"/>
  <c r="F17" i="6" a="1"/>
  <c r="F17"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I6" i="11" s="1" a="1"/>
  <c r="I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H9" i="11" a="1"/>
  <c r="H9" i="11" s="1"/>
  <c r="G17" i="11" a="1"/>
  <c r="G17" i="11" s="1"/>
  <c r="G14" i="11" a="1"/>
  <c r="G14" i="11" s="1"/>
  <c r="J7" i="8" a="1"/>
  <c r="J7" i="8" s="1"/>
  <c r="G18" i="11" a="1"/>
  <c r="G18" i="11" s="1"/>
  <c r="G8" i="11" a="1"/>
  <c r="G8" i="11" s="1"/>
  <c r="I8" i="11" s="1" a="1"/>
  <c r="I8" i="11" s="1"/>
  <c r="H18" i="11" a="1"/>
  <c r="H18" i="11" s="1"/>
  <c r="G10" i="11" a="1"/>
  <c r="G10" i="11" s="1"/>
  <c r="H11" i="11" a="1"/>
  <c r="H11" i="11" s="1"/>
  <c r="H20" i="11" a="1"/>
  <c r="H20" i="11" s="1"/>
  <c r="G9" i="11" a="1"/>
  <c r="G9" i="11" s="1"/>
  <c r="H22" i="11" a="1"/>
  <c r="H22" i="11" s="1"/>
  <c r="G12" i="11" a="1"/>
  <c r="G12" i="11" s="1"/>
  <c r="H16" i="11" a="1"/>
  <c r="H16" i="11" s="1"/>
  <c r="H8" i="11" a="1"/>
  <c r="H8" i="11" s="1"/>
  <c r="J8" i="11" s="1" a="1"/>
  <c r="J8" i="11" s="1"/>
  <c r="G21" i="11" a="1"/>
  <c r="G21" i="11"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J16" i="8" a="1"/>
  <c r="J16" i="8" s="1"/>
  <c r="J5" i="8" a="1"/>
  <c r="J5" i="8" s="1"/>
  <c r="J14" i="8" a="1"/>
  <c r="J14" i="8" s="1"/>
  <c r="J6" i="8" a="1"/>
  <c r="J6" i="8" s="1"/>
  <c r="J4" i="8" a="1"/>
  <c r="J4" i="8" s="1"/>
  <c r="P16" i="8" a="1"/>
  <c r="P16" i="8" s="1"/>
  <c r="P4" i="8" a="1"/>
  <c r="P4" i="8" s="1"/>
  <c r="P11" i="8" a="1"/>
  <c r="P11" i="8" s="1"/>
  <c r="P15" i="8" a="1"/>
  <c r="P15" i="8" s="1"/>
  <c r="J12" i="8" a="1"/>
  <c r="J12" i="8" s="1"/>
  <c r="J15" i="8" a="1"/>
  <c r="J15" i="8" s="1"/>
  <c r="P19" i="8" a="1"/>
  <c r="P19" i="8" s="1"/>
  <c r="J22" i="8" a="1"/>
  <c r="J22" i="8" s="1"/>
  <c r="J20" i="8" a="1"/>
  <c r="J20" i="8" s="1"/>
  <c r="J13" i="8" a="1"/>
  <c r="J13" i="8" s="1"/>
  <c r="R13" i="8" s="1" a="1"/>
  <c r="R13" i="8" s="1"/>
  <c r="J19" i="8" a="1"/>
  <c r="J19" i="8" s="1"/>
  <c r="J11" i="8" a="1"/>
  <c r="J11" i="8" s="1"/>
  <c r="Q13" i="8" a="1"/>
  <c r="Q13" i="8" s="1"/>
  <c r="G6" i="7" a="1"/>
  <c r="G6" i="7" s="1"/>
  <c r="S22" i="4" a="1"/>
  <c r="S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8" i="6" l="1" a="1"/>
  <c r="E8" i="6" s="1"/>
  <c r="R19" i="8" a="1"/>
  <c r="R19" i="8" s="1"/>
  <c r="S13" i="8" a="1"/>
  <c r="S13" i="8" s="1"/>
  <c r="E23" i="6" a="1"/>
  <c r="E23" i="6" s="1"/>
  <c r="E21" i="6" a="1"/>
  <c r="E21" i="6" s="1"/>
  <c r="T22" i="4"/>
  <c r="E11" i="6" a="1"/>
  <c r="E11" i="6" s="1"/>
  <c r="R12" i="8" a="1"/>
  <c r="R12" i="8"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S11" i="8" a="1"/>
  <c r="S11" i="8" s="1"/>
  <c r="T24" i="4"/>
  <c r="S9" i="8" a="1"/>
  <c r="S9" i="8" s="1"/>
  <c r="S7" i="8" a="1"/>
  <c r="S7" i="8" s="1"/>
  <c r="S15" i="8" a="1"/>
  <c r="S15" i="8" s="1"/>
  <c r="R6" i="8" a="1"/>
  <c r="R6" i="8" s="1"/>
  <c r="R9" i="8" a="1"/>
  <c r="R9" i="8" s="1"/>
  <c r="S23" i="8"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G8" i="6" s="1" a="1"/>
  <c r="G8" i="6" s="1"/>
  <c r="D22" i="6" a="1"/>
  <c r="D22" i="6" s="1"/>
  <c r="D19" i="6" a="1"/>
  <c r="D19" i="6" s="1"/>
  <c r="D12" i="6" a="1"/>
  <c r="D12" i="6" s="1"/>
  <c r="M7" i="8" a="1"/>
  <c r="M7" i="8"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G9" i="6" l="1" a="1"/>
  <c r="G9" i="6" s="1"/>
  <c r="U4" i="8" a="1"/>
  <c r="U4" i="8" s="1"/>
  <c r="F6" i="14" s="1"/>
  <c r="G6" i="14" s="1"/>
  <c r="U7" i="8" a="1"/>
  <c r="U7" i="8" s="1"/>
  <c r="F9" i="14" s="1"/>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M15" i="8" a="1"/>
  <c r="M15" i="8" s="1"/>
  <c r="F17" i="14" s="1"/>
  <c r="G17" i="14" s="1"/>
  <c r="M11" i="8" a="1"/>
  <c r="M11" i="8" s="1"/>
  <c r="F13" i="14" s="1"/>
  <c r="G13" i="14" s="1"/>
  <c r="M8" i="8" a="1"/>
  <c r="M8" i="8" s="1"/>
  <c r="M5" i="8" a="1"/>
  <c r="M5" i="8" s="1"/>
  <c r="M6" i="8" a="1"/>
  <c r="M6" i="8" s="1"/>
  <c r="M19" i="8" a="1"/>
  <c r="M19" i="8" s="1"/>
  <c r="F21" i="14" s="1"/>
  <c r="G21" i="14" s="1"/>
  <c r="M20" i="8" a="1"/>
  <c r="M20" i="8" s="1"/>
  <c r="F22" i="14" s="1"/>
  <c r="G22" i="14" s="1"/>
  <c r="M22" i="8" a="1"/>
  <c r="M22" i="8" s="1"/>
  <c r="F24" i="14" s="1"/>
  <c r="G24" i="14" s="1"/>
  <c r="M16" i="8" a="1"/>
  <c r="M16" i="8" s="1"/>
  <c r="F18" i="14" s="1"/>
  <c r="G18" i="14" s="1"/>
  <c r="U9" i="8" l="1" a="1"/>
  <c r="U9" i="8" s="1"/>
  <c r="F11" i="14" s="1"/>
  <c r="G11" i="14" s="1"/>
  <c r="U8" i="8" a="1"/>
  <c r="U8" i="8" s="1"/>
  <c r="F10" i="14" s="1"/>
  <c r="G10" i="14" s="1"/>
  <c r="U6" i="8"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<sst xmlns="http://schemas.openxmlformats.org/spreadsheetml/2006/main" count="299" uniqueCount="219">
  <si>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</si>
  <si>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</si>
  <si>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</si>
  <si>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</si>
  <si>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</si>
  <si>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</si>
  <si>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</si>
  <si>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</si>
  <si>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</si>
  <si>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</si>
  <si>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</si>
  <si>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</si>
  <si>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</si>
  <si>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</si>
  <si>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</si>
  <si>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</si>
  <si>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</si>
  <si>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</si>
  <si>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</si>
  <si>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</si>
  <si>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</si>
  <si>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</si>
  <si>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</si>
  <si>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</si>
  <si>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</si>
  <si>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</si>
  <si>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</si>
  <si>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</si>
  <si>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</si>
  <si>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</si>
  <si>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</si>
  <si>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</si>
  <si>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</si>
  <si>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</si>
  <si>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</si>
  <si>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</si>
  <si>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</si>
  <si>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</si>
  <si>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</si>
  <si>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</si>
  <si>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</si>
  <si>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</si>
  <si>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</si>
  <si>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</si>
  <si>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</si>
  <si>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</si>
  <si>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</si>
  <si>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</si>
  <si>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</si>
  <si>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</si>
  <si>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</si>
  <si>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</si>
  <si>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</si>
  <si>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</si>
  <si>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</si>
  <si>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</si>
  <si>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</si>
  <si>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</si>
  <si>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</si>
  <si>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</si>
  <si>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</si>
  <si>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</si>
  <si>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</si>
  <si>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</si>
  <si>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</si>
  <si>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</si>
  <si>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</si>
  <si>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</si>
  <si>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</si>
  <si>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</si>
  <si>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</si>
  <si>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</si>
  <si>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</si>
  <si>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</si>
  <si>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</si>
  <si>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</si>
  <si>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</si>
  <si>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</si>
  <si>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</si>
  <si>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</si>
  <si>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</si>
  <si>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</si>
  <si>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</si>
  <si>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</si>
  <si>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</si>
  <si>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</si>
  <si>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</si>
  <si>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</si>
  <si>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</si>
  <si>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</si>
  <si>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</si>
  <si>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</si>
  <si>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</si>
  <si>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</si>
  <si>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</si>
  <si>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</si>
  <si>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</si>
  <si>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</si>
  <si>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</si>
  <si>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</si>
  <si>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</si>
  <si>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</si>
  <si>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</si>
  <si>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</si>
  <si>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</si>
  <si>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</si>
  <si>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</si>
  <si>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</si>
  <si>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</si>
  <si>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</si>
  <si>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</si>
  <si>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</si>
  <si>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</si>
  <si>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</si>
  <si>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</si>
  <si>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</si>
  <si>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</si>
  <si>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</si>
  <si>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</si>
  <si>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</si>
  <si>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</si>
  <si>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</si>
  <si>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</si>
  <si>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</si>
  <si>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</si>
  <si>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</si>
  <si>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</si>
  <si>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</si>
  <si>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</si>
  <si>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</si>
  <si>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</si>
  <si>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</si>
  <si>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</si>
  <si>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</si>
  <si>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</si>
  <si>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</si>
  <si>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</si>
  <si>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</si>
  <si>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</si>
  <si>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</si>
  <si>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</si>
  <si>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</si>
  <si>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</si>
  <si>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</si>
  <si>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</si>
  <si>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</si>
  <si>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</si>
  <si>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</si>
  <si>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</si>
  <si>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</si>
  <si>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</si>
  <si>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</si>
  <si>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</si>
  <si>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</si>
  <si>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</si>
  <si>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</si>
  <si>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</si>
  <si>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</si>
  <si>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</si>
  <si>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</si>
  <si>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</si>
  <si>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</si>
  <si>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</si>
  <si>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</si>
  <si>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</si>
  <si>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</si>
  <si>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</si>
  <si>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</si>
  <si>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</si>
  <si>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</si>
  <si>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</si>
  <si>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</si>
  <si>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</si>
  <si>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</si>
  <si>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</si>
  <si>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</si>
  <si>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</si>
  <si>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</si>
  <si>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</si>
  <si>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</si>
  <si>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</si>
  <si>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</si>
  <si>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</si>
  <si>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</si>
  <si>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</si>
  <si>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</si>
  <si>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</si>
  <si>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</si>
  <si>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</si>
  <si>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C:\_temp</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</si>
  <si>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</si>
  <si>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</si>
  <si>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</si>
  <si>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</si>
  <si>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</si>
  <si>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</si>
  <si>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</si>
  <si>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</si>
  <si>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</si>
  <si>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</si>
  <si>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</si>
  <si>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</si>
  <si>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Sample003ViewModel</t>
    <phoneticPr fontId="1"/>
  </si>
  <si>
    <t>作業者グループコード</t>
  </si>
  <si>
    <t>作業者グループ名称</t>
    <rPh sb="0" eb="3">
      <t>サギョウシャ</t>
    </rPh>
    <rPh sb="7" eb="9">
      <t>メイショウ</t>
    </rPh>
    <phoneticPr fontId="1"/>
  </si>
  <si>
    <t>worker_group_code</t>
  </si>
  <si>
    <t>worker_group_name</t>
  </si>
  <si>
    <t>タスクマスタ</t>
  </si>
  <si>
    <t>tmp_task_mst</t>
  </si>
  <si>
    <t>タスクID</t>
  </si>
  <si>
    <t>task_id</t>
  </si>
  <si>
    <t>タスク期限</t>
    <rPh sb="3" eb="5">
      <t>キゲン</t>
    </rPh>
    <phoneticPr fontId="1"/>
  </si>
  <si>
    <t>task_dead_line</t>
  </si>
  <si>
    <t>工程コード</t>
    <rPh sb="0" eb="2">
      <t>コウテイ</t>
    </rPh>
    <phoneticPr fontId="1"/>
  </si>
  <si>
    <t>process_code</t>
  </si>
  <si>
    <t>担当者コード</t>
    <rPh sb="0" eb="3">
      <t>タントウシャ</t>
    </rPh>
    <phoneticPr fontId="1"/>
  </si>
  <si>
    <t>DateTime</t>
  </si>
  <si>
    <t>task_item</t>
    <phoneticPr fontId="1"/>
  </si>
  <si>
    <t>タスクアイテム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</si>
</sst>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49">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cellXfs>
  <cellStyles count="1">
    <cellStyle name="標準" xfId="0" builtinId="0"/>
  </cellStyles>
  <dxfs count="168">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4</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121"/>
    <tableColumn id="4" xr3:uid="{A0F0A6D8-BE95-4123-B67D-34366CAFA057}" name="シート" dataDxfId="120"/>
    <tableColumn id="5" xr3:uid="{21A7A962-0D69-4D54-9B94-1D3AA0348D1B}" name="テーブル" dataDxfId="119"/>
    <tableColumn id="2" xr3:uid="{186447A6-A3C3-4C83-8E33-ADEFC86C5C5B}" name="クラス" dataDxfId="118">
      <calculatedColumnFormula>ValueObject[[#Headers],[ValueObject]]</calculatedColumnFormula>
    </tableColumn>
    <tableColumn id="3" xr3:uid="{740C3B40-2C6C-479F-9CE7-96D71852EDA3}" name="コード" dataDxfId="117">
      <calculatedColumnFormula>ValueObject[[#Headers],[ValueObjectコード]]</calculatedColumnFormula>
    </tableColumn>
  </tableColumns>
  <tableStyleInfo name="TableStyleLight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16" dataDxfId="114" headerRowBorderDxfId="115" tableBorderDxfId="113" totalsRowBorderDxfId="112">
  <autoFilter ref="B3:Y133" xr:uid="{C3907FCC-CA05-4713-9723-FA8F91E86618}"/>
  <tableColumns count="24">
    <tableColumn id="1" xr3:uid="{78C3D992-E76B-4E61-9932-8FCACA754DA3}" name="VONo" dataDxfId="111">
      <calculatedColumnFormula>ROW(ValueObject[[#This Row],[VONo]])-3</calculatedColumnFormula>
    </tableColumn>
    <tableColumn id="3" xr3:uid="{5D90C66F-3339-4D4D-B1BB-4D3F896DEF75}" name="Entity" dataDxfId="110">
      <calculatedColumnFormula>_xlfn.XLOOKUP(ValueObject[[#This Row],[VONo]],InputValueObjects[VONo],InputValueObjects[Entity],"",0,1)</calculatedColumnFormula>
    </tableColumn>
    <tableColumn id="2" xr3:uid="{877C3C6A-8F74-48D8-B8C8-F39B5E711E47}" name="ValueObject" dataDxfId="109">
      <calculatedColumnFormula>_xlfn.XLOOKUP(ValueObject[[#This Row],[VONo]],InputValueObjects[VONo],InputValueObjects[ValueObject],"",0,1)</calculatedColumnFormula>
    </tableColumn>
    <tableColumn id="7" xr3:uid="{18AF4FDA-9BE9-48B4-BB6C-C01A6CE61FEB}" name="DBテーブル_物理名" dataDxfId="108">
      <calculatedColumnFormula>_xlfn.XLOOKUP(ValueObject[[#This Row],[VONo]],InputValueObjects[VONo],InputValueObjects[DBカラム_物理名],"",0,1)</calculatedColumnFormula>
    </tableColumn>
    <tableColumn id="18" xr3:uid="{3FB8DB9C-9818-42AB-B626-6C0CB1E14AC1}" name="SQLite_パラメータ" dataDxfId="107">
      <calculatedColumnFormula>"@"&amp;ValueObject[[#This Row],[DBテーブル_物理名]]</calculatedColumnFormula>
    </tableColumn>
    <tableColumn id="4" xr3:uid="{4C951DFD-3272-484E-992F-80BB7F74DBB2}" name="PK" dataDxfId="106">
      <calculatedColumnFormula>_xlfn.XLOOKUP(ValueObject[[#This Row],[VONo]],InputValueObjects[VONo],InputValueObjects[PK],"",0,1)</calculatedColumnFormula>
    </tableColumn>
    <tableColumn id="17" xr3:uid="{255DF109-2CF3-4090-8996-EE7521C9DED9}" name="NotNull" dataDxfId="105">
      <calculatedColumnFormula>_xlfn.XLOOKUP(ValueObject[[#This Row],[VONo]],InputValueObjects[VONo],InputValueObjects[NotNull],"",0,1)</calculatedColumnFormula>
    </tableColumn>
    <tableColumn id="5" xr3:uid="{28582FEE-90CB-446E-9C27-075F4437DA70}" name="型" dataDxfId="104">
      <calculatedColumnFormula>_xlfn.XLOOKUP(ValueObject[[#This Row],[VONo]],InputValueObjects[VONo],InputValueObjects[型],"",0,1)</calculatedColumnFormula>
    </tableColumn>
    <tableColumn id="10" xr3:uid="{92E6581F-1D3C-4702-AFF9-CCB5D99761CC}" name="Entity_プロパティ" dataDxfId="103">
      <calculatedColumnFormula>_xlfn.XLOOKUP(ValueObject[[#This Row],[VONo]],InputValueObjects[VONo],InputValueObjects[Entity_プロパティ],"",0,1)</calculatedColumnFormula>
    </tableColumn>
    <tableColumn id="8" xr3:uid="{9D39EFC9-16B9-4BF7-B3E7-6253ECA5026C}" name="変数_VO" dataDxfId="102">
      <calculatedColumnFormula>REPLACE(ValueObject[[#This Row],[Entity_プロパティ]],1,1,LOWER(LEFT(ValueObject[[#This Row],[ValueObject]])))</calculatedColumnFormula>
    </tableColumn>
    <tableColumn id="9" xr3:uid="{3C87C5B9-DE2C-47D1-957A-920224761754}" name="Entity_コンストラクタ引数" dataDxfId="101">
      <calculatedColumnFormula>ValueObject[[#This Row],[型]]&amp;" "&amp;ValueObject[[#This Row],[変数_VO]]</calculatedColumnFormula>
    </tableColumn>
    <tableColumn id="11" xr3:uid="{79C59DE4-1F8F-47FC-B231-FB2BC0BB63C1}" name="Entity_コンストラクタ" dataDxfId="100">
      <calculatedColumnFormula>ValueObject[[#This Row],[Entity_プロパティ]]&amp;" = new "&amp;ValueObject[[#This Row],[ValueObject]]&amp;"("&amp;ValueObject[[#This Row],[変数_VO]]&amp;");"</calculatedColumnFormula>
    </tableColumn>
    <tableColumn id="12" xr3:uid="{1B8DD2EE-F6B7-4C5B-802A-F6F1877B7567}" name="Entity_プロパティ_get" dataDxfId="99">
      <calculatedColumnFormula>"public "&amp;ValueObject[[#This Row],[ValueObject]]&amp;" "&amp;ValueObject[[#This Row],[Entity_プロパティ]]&amp;" { get; }"</calculatedColumnFormula>
    </tableColumn>
    <tableColumn id="15" xr3:uid="{6BDA359D-A0A2-4944-ADAB-D45254DA9B79}" name="Convert" dataDxfId="98">
      <calculatedColumnFormula>_xlfn.XLOOKUP(SUBSTITUTE(ValueObject[[#This Row],[型]],"?",""),Types[型],Types[Convert],"",,1)</calculatedColumnFormula>
    </tableColumn>
    <tableColumn id="23" xr3:uid="{FBC721E8-728A-4004-AB0F-34A5C87605A9}" name="SQLite_型" dataDxfId="97">
      <calculatedColumnFormula>_xlfn.XLOOKUP(SUBSTITUTE(ValueObject[[#This Row],[型]],"?",""),Types[型],Types[型_SQLite],"",0,1)</calculatedColumnFormula>
    </tableColumn>
    <tableColumn id="24" xr3:uid="{BACCEC8C-31A1-4D3A-BC3C-A24F125F3FCF}" name="SQLite_CREATE_Column" dataDxfId="96">
      <calculatedColumnFormula>IF(ValueObject[[#This Row],[SQLite_型]]="","",ValueObject[[#This Row],[DBテーブル_物理名]]&amp;" "&amp;ValueObject[[#This Row],[SQLite_型]])</calculatedColumnFormula>
    </tableColumn>
    <tableColumn id="13" xr3:uid="{F5A2B87C-410D-4B6F-AA1A-1E49485A97DD}" name="Repository_Entity_Args_NotNull" dataDxfId="95">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4">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3">
      <calculatedColumnFormula>IF(ValueObject[[#This Row],[NotNull]]=1,ValueObject[[#This Row],[Repository_Entity_Args_NotNull]],ValueObject[[#This Row],[Repository_Entity_Args_Null]])</calculatedColumnFormula>
    </tableColumn>
    <tableColumn id="19" xr3:uid="{ABDB516E-F8BF-4FC1-AC3B-62889C4366A2}" name="SQL_Update" dataDxfId="92">
      <calculatedColumnFormula>ValueObject[[#This Row],[DBテーブル_物理名]]&amp;" = @"&amp;ValueObject[[#This Row],[DBテーブル_物理名]]</calculatedColumnFormula>
    </tableColumn>
    <tableColumn id="20" xr3:uid="{1A459BFB-ED1C-4E29-8CF4-20A751E80708}" name="SQLiteParameter_Args" dataDxfId="91">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0">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89">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88">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87" dataDxfId="85" headerRowBorderDxfId="86" tableBorderDxfId="84" totalsRowBorderDxfId="83">
  <autoFilter ref="B3:G23" xr:uid="{C3907FCC-CA05-4713-9723-FA8F91E86618}"/>
  <tableColumns count="6">
    <tableColumn id="1" xr3:uid="{E4BC7BB6-53E8-41D6-AE70-4402E584DA8A}" name="ENo" dataDxfId="82">
      <calculatedColumnFormula>ROW(Entity[[#This Row],[ENo]])-3</calculatedColumnFormula>
    </tableColumn>
    <tableColumn id="3" xr3:uid="{D4AB6CB8-4C4E-4D99-A557-F846C9600AF5}" name="Entity" dataDxfId="81">
      <calculatedColumnFormula>_xlfn.XLOOKUP(Entity[[#This Row],[ENo]],InputEntities[ENo],InputEntities[Entity],"",0,1)</calculatedColumnFormula>
    </tableColumn>
    <tableColumn id="8" xr3:uid="{0511006E-B352-49D4-9AF7-E10E8037AEE4}" name="Entity_引数" dataDxfId="80">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79">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78">
      <calculatedColumnFormula array="1">_xlfn.TEXTJOIN(CHAR(10),TRUE,_xlfn._xlws.FILTER(ValueObject[Entity_プロパティ_get],ValueObject[Entity]=Entity[[#This Row],[Entity]]))</calculatedColumnFormula>
    </tableColumn>
    <tableColumn id="6" xr3:uid="{180F5F55-B6F6-46FB-AD0F-2228095AD333}" name="Entity(get)コード" dataDxfId="77">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76" headerRowBorderDxfId="75" tableBorderDxfId="74" totalsRowBorderDxfId="73">
  <autoFilter ref="B3:F23" xr:uid="{1D494906-EBB0-4BEB-8897-E91BB4A1E4D8}"/>
  <tableColumns count="5">
    <tableColumn id="1" xr3:uid="{A620284B-0206-4B61-9C4A-8192D9D7DCA1}" name="ENo" dataDxfId="72">
      <calculatedColumnFormula>ROW(Repository_SQLite[[#This Row],[ENo]])-3</calculatedColumnFormula>
    </tableColumn>
    <tableColumn id="2" xr3:uid="{F9550989-AE27-4901-B310-2A6737A6330C}" name="Entity" dataDxfId="71">
      <calculatedColumnFormula>_xlfn.XLOOKUP(SQLite_CREATE[[#This Row],[ENo]],InputEntities[ENo],InputEntities[Entity],"",0,1)</calculatedColumnFormula>
    </tableColumn>
    <tableColumn id="5" xr3:uid="{E7903ECC-3EC0-4D13-A62C-FFE77F2565BF}" name="DBカラム_物理名" dataDxfId="70">
      <calculatedColumnFormula>IF(SQLite_CREATE[[#This Row],[Entity]]="","",_xlfn.XLOOKUP(SQLite_CREATE[[#This Row],[ENo]],InputEntities[ENo],InputEntities[DBテーブル_物理名],"",0,1))</calculatedColumnFormula>
    </tableColumn>
    <tableColumn id="3" xr3:uid="{3D22D365-DB72-4963-AA6C-B17D26AB5203}" name="SQLite_CREATE_Columns" dataDxfId="69">
      <calculatedColumnFormula array="1">_xlfn.TEXTJOIN(",",TRUE,_xlfn._xlws.FILTER(ValueObject[SQLite_CREATE_Column],ValueObject[Entity]=SQLite_CREATE[[#This Row],[Entity]]))</calculatedColumnFormula>
    </tableColumn>
    <tableColumn id="4" xr3:uid="{BCAAA172-4C83-432A-9FE5-8C2D803A1C0F}" name="SQLite_CREATEコード" dataDxfId="68">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67" dataDxfId="65" headerRowBorderDxfId="66" tableBorderDxfId="64" totalsRowBorderDxfId="63">
  <autoFilter ref="B3:H23" xr:uid="{576650B9-7B56-486D-ADF5-12F933C7B940}"/>
  <tableColumns count="7">
    <tableColumn id="1" xr3:uid="{B114C640-D63C-49F0-BA4A-2D5BE6AD23BF}" name="ENo" dataDxfId="62">
      <calculatedColumnFormula>ROW(IRepository[[#This Row],[ENo]])-3</calculatedColumnFormula>
    </tableColumn>
    <tableColumn id="3" xr3:uid="{34414942-3E6F-4515-A0A2-8F7C5F760F38}" name="Entity" dataDxfId="61">
      <calculatedColumnFormula>_xlfn.XLOOKUP(IRepository[[#This Row],[ENo]],InputEntities[ENo],InputEntities[Entity],"",0,1)</calculatedColumnFormula>
    </tableColumn>
    <tableColumn id="11" xr3:uid="{8C1894D1-E250-4542-9BE4-59C1F41E0009}" name="IRepository" dataDxfId="60">
      <calculatedColumnFormula>IF(IRepository[[#This Row],[Entity]]="","",SUBSTITUTE("I"&amp;IRepository[[#This Row],[Entity]],"Entity","Repository"))</calculatedColumnFormula>
    </tableColumn>
    <tableColumn id="8" xr3:uid="{85C62ABB-AF80-44AD-BBFB-935F78147B78}" name="Entity_引数" dataDxfId="59">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58">
      <calculatedColumnFormula array="1">_xlfn.TEXTJOIN(CHAR(10),TRUE,_xlfn._xlws.FILTER(ValueObject[Entity_コンストラクタ],ValueObject[Entity]=IRepository[[#This Row],[Entity]]))</calculatedColumnFormula>
    </tableColumn>
    <tableColumn id="10" xr3:uid="{F8B4A6BE-F9FE-474F-816B-CB41983620A5}" name="Entity_プロパティ" dataDxfId="57">
      <calculatedColumnFormula array="1">_xlfn.TEXTJOIN(CHAR(10),TRUE,_xlfn._xlws.FILTER(ValueObject[Entity_プロパティ_get],ValueObject[Entity]=IRepository[[#This Row],[Entity]]))</calculatedColumnFormula>
    </tableColumn>
    <tableColumn id="6" xr3:uid="{2DB4026A-02A4-4908-9ABC-932E691D3F2D}" name="IRepositoryコード" dataDxfId="56">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55" dataDxfId="53" headerRowBorderDxfId="54" tableBorderDxfId="52" totalsRowBorderDxfId="51">
  <autoFilter ref="B3:U23" xr:uid="{576650B9-7B56-486D-ADF5-12F933C7B940}"/>
  <tableColumns count="20">
    <tableColumn id="1" xr3:uid="{49DAD470-078D-4B22-9074-686F91D89E9A}" name="ENo" dataDxfId="50">
      <calculatedColumnFormula>ROW(Repository_SQLite[[#This Row],[ENo]])-3</calculatedColumnFormula>
    </tableColumn>
    <tableColumn id="3" xr3:uid="{AF699E89-DF42-4507-88B3-AFC26388E762}" name="Entity" dataDxfId="49">
      <calculatedColumnFormula>_xlfn.XLOOKUP(Repository_SQLite[[#This Row],[ENo]],InputEntities[ENo],InputEntities[Entity],"",0,1)</calculatedColumnFormula>
    </tableColumn>
    <tableColumn id="2" xr3:uid="{6DF8E778-D84B-4241-B8E3-507AB3EBDCDA}" name="Repository_SQLite" dataDxfId="48">
      <calculatedColumnFormula>SUBSTITUTE(Repository_SQLite[[#This Row],[Entity]],"Entity","SQLite")</calculatedColumnFormula>
    </tableColumn>
    <tableColumn id="19" xr3:uid="{7EB17A05-6C36-46CE-B4C4-9DF6E9E84D0F}" name="Repository_Oracle" dataDxfId="47">
      <calculatedColumnFormula>SUBSTITUTE(Repository_SQLite[[#This Row],[Entity]],"Entity","Oracle")</calculatedColumnFormula>
    </tableColumn>
    <tableColumn id="11" xr3:uid="{2A5EDE7C-0124-4583-B2E5-B5D7E4577E10}" name="IRepository" dataDxfId="46">
      <calculatedColumnFormula>SUBSTITUTE("I"&amp;Repository_SQLite[[#This Row],[Entity]],"Entity","Repository")</calculatedColumnFormula>
    </tableColumn>
    <tableColumn id="21" xr3:uid="{AB9556D1-483A-46C9-8E5C-B7E67B88B414}" name="CreateRepository" dataDxfId="45">
      <calculatedColumnFormula>SUBSTITUTE("Create"&amp;Repository_SQLite[[#This Row],[Entity]],"Entity","")</calculatedColumnFormula>
    </tableColumn>
    <tableColumn id="12" xr3:uid="{6D6A4D6A-E126-4536-8CFB-5E6F535413F2}" name="DBテーブル_物理名" dataDxfId="44">
      <calculatedColumnFormula>_xlfn.XLOOKUP(Repository_SQLite[[#This Row],[ENo]],InputEntities[ENo],InputEntities[DBテーブル_物理名],"",0,1)</calculatedColumnFormula>
    </tableColumn>
    <tableColumn id="14" xr3:uid="{84272230-EBDD-4320-BB60-083C221308F9}" name="SQL_カラム" dataDxfId="43">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2">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1">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0">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39">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38">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37">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36">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35">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4">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3">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2">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1">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0" dataDxfId="28" headerRowBorderDxfId="29" tableBorderDxfId="27" totalsRowBorderDxfId="26">
  <autoFilter ref="B5:G25" xr:uid="{D0972AE8-4F12-41DD-980B-7C367BD42C67}"/>
  <tableColumns count="6">
    <tableColumn id="1" xr3:uid="{16039F24-1CD1-483A-8470-2B0BF095508B}" name="Eno" dataDxfId="25">
      <calculatedColumnFormula>ROW(Repository_Oracle[[#This Row],[Eno]])-5</calculatedColumnFormula>
    </tableColumn>
    <tableColumn id="3" xr3:uid="{D7CF0136-6429-48C6-9661-81ECA7E3ED87}" name="Entity" dataDxfId="24">
      <calculatedColumnFormula>_xlfn.XLOOKUP(Repository_Oracle[[#This Row],[Eno]],InputEntities[ENo],InputEntities[Entity],"",0,1)</calculatedColumnFormula>
    </tableColumn>
    <tableColumn id="6" xr3:uid="{58E4907C-6081-4133-BB6E-6559AB18C83D}" name="Repository_SQLite" dataDxfId="23">
      <calculatedColumnFormula>SUBSTITUTE(Repository_Oracle[[#This Row],[Entity]],"Entity","SQLite")</calculatedColumnFormula>
    </tableColumn>
    <tableColumn id="4" xr3:uid="{FD295F43-5144-411A-9E2C-DD644BCEDAF2}" name="Repository_Oracle" dataDxfId="22">
      <calculatedColumnFormula>SUBSTITUTE(Repository_Oracle[[#This Row],[Entity]],"Entity","Oracle")</calculatedColumnFormula>
    </tableColumn>
    <tableColumn id="2" xr3:uid="{F24AB763-0A1B-4DF3-BF3B-1F1481EAB6AB}" name="RepositorySQLiteコード" dataDxfId="21">
      <calculatedColumnFormula>_xlfn.XLOOKUP(Repository_Oracle[[#This Row],[Eno]],Repository_SQLite[ENo],Repository_SQLite[RepositorySQLiteコード],"",0,1)</calculatedColumnFormula>
    </tableColumn>
    <tableColumn id="5" xr3:uid="{1382E319-90EF-4D13-9974-3B9A54BE194B}" name="RepositoryOracleコード" dataDxfId="20">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19" dataDxfId="17" headerRowBorderDxfId="18" tableBorderDxfId="16" totalsRowBorderDxfId="15">
  <autoFilter ref="C3:D4" xr:uid="{A7F73CE3-5C2D-43D0-8D00-57583E6B4AE4}"/>
  <tableColumns count="2">
    <tableColumn id="2" xr3:uid="{77C64009-4095-46FE-BE39-4809063860FD}" name="CreateRepositories" dataDxfId="14">
      <calculatedColumnFormula array="1">_xlfn.TEXTJOIN(CHAR(10),TRUE,_xlfn._xlws.FILTER(Repository_SQLite[FactoryCreateRepository],(Repository_SQLite[Entity]&lt;&gt;"")))</calculatedColumnFormula>
    </tableColumn>
    <tableColumn id="1" xr3:uid="{08BEB64E-0183-4F1D-ABCC-34BBF488FEED}" name="Factories" dataDxfId="13">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2" dataDxfId="10" headerRowBorderDxfId="11" tableBorderDxfId="9" totalsRowBorderDxfId="8">
  <autoFilter ref="C3:J23" xr:uid="{C23818F8-C2E8-4010-96FD-0668C3C6F522}"/>
  <tableColumns count="8">
    <tableColumn id="1" xr3:uid="{B7993ACB-F837-4E19-BCF7-650888BAB5EE}" name="ENo" dataDxfId="7">
      <calculatedColumnFormula>ROW(Entity[[#This Row],[ENo]])-3</calculatedColumnFormula>
    </tableColumn>
    <tableColumn id="3" xr3:uid="{1A710D9E-961E-4BF2-A448-29A1ED27383E}" name="ViewModel" dataDxfId="6">
      <calculatedColumnFormula>_xlfn.XLOOKUP(ViewModelEntity[[#This Row],[ENo]],InputEntities[ENo],InputEntities[ViewModel],"",0,1)</calculatedColumnFormula>
    </tableColumn>
    <tableColumn id="2" xr3:uid="{D09998B8-B07F-4175-878B-AA2BDE1FBA83}" name="Entity" dataDxfId="5">
      <calculatedColumnFormula>IF(ViewModelEntity[[#This Row],[ViewModel]]=0,"",_xlfn.XLOOKUP(ViewModelEntity[[#This Row],[ENo]],InputEntities[ENo],InputEntities[Entity],"",0,1))</calculatedColumnFormula>
    </tableColumn>
    <tableColumn id="4" xr3:uid="{9F892A6A-5C1A-4DAA-8AA9-EB02065C5688}" name="ViewModelEntity" dataDxfId="4">
      <calculatedColumnFormula>IF(ViewModelEntity[[#This Row],[Entity]]="","",ViewModelEntity[[#This Row],[ViewModel]]&amp;SUBSTITUTE(ViewModelEntity[[#This Row],[Entity]],"Entity",""))</calculatedColumnFormula>
    </tableColumn>
    <tableColumn id="5" xr3:uid="{C99A383E-E90F-4ECF-9AA0-B933DEF5FB82}" name="ViewModelEntity_Property_get" dataDxfId="3">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2">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1">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0">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tabSelected="1" zoomScale="70" zoomScaleNormal="70" workbookViewId="0">
      <selection activeCell="L37" sqref="L37"/>
    </sheetView>
  </sheetViews>
  <sheetFormatPr defaultRowHeight="15.45"/>
  <cols>
    <col min="1" max="1" width="2.5625" customWidth="1"/>
    <col min="2" max="2" width="6.25" customWidth="1"/>
    <col min="3" max="3" width="17.6875" customWidth="1"/>
    <col min="4" max="6" width="26" customWidth="1"/>
    <col min="7" max="8" width="2.5625" customWidth="1"/>
    <col min="9" max="9" width="7.3125" customWidth="1"/>
    <col min="10" max="10" width="9.4375" customWidth="1"/>
    <col min="11" max="11" width="31.0625" bestFit="1" customWidth="1"/>
    <col min="12" max="12" width="16.0625" bestFit="1" customWidth="1"/>
    <col min="13" max="13" width="25.375" bestFit="1" customWidth="1"/>
    <col min="14" max="14" width="8.4375" customWidth="1"/>
    <col min="16" max="16" width="12.0625" customWidth="1"/>
    <col min="17" max="17" width="22.6875" bestFit="1" customWidth="1"/>
    <col min="18" max="18" width="17.75" bestFit="1" customWidth="1"/>
    <col min="19" max="20" width="22.6875" bestFit="1" customWidth="1"/>
  </cols>
  <sheetData>
    <row r="1" spans="1:21" ht="19.3">
      <c r="A1" s="1" t="s">
        <v>0</v>
      </c>
    </row>
    <row r="3" spans="1:21">
      <c r="C3" s="2" t="s">
        <v>1</v>
      </c>
      <c r="D3" s="3" t="s">
        <v>108</v>
      </c>
    </row>
    <row r="5" spans="1:21">
      <c r="C5" s="2" t="s">
        <v>2</v>
      </c>
      <c r="D5" s="4">
        <v>4</v>
      </c>
    </row>
    <row r="9" spans="1:21">
      <c r="B9" t="s">
        <v>3</v>
      </c>
      <c r="I9" t="s">
        <v>5</v>
      </c>
    </row>
    <row r="10" spans="1:21" ht="29.15" customHeight="1">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c r="B11" s="13">
        <f>ROW(InputEntities[[#This Row],[ENo]])-10</f>
        <v>1</v>
      </c>
      <c r="C11" s="8" t="s">
        <v>109</v>
      </c>
      <c r="D11" s="8" t="s">
        <v>110</v>
      </c>
      <c r="E11" s="28"/>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c r="B12" s="13">
        <f>ROW(InputEntities[[#This Row],[ENo]])-10</f>
        <v>2</v>
      </c>
      <c r="C12" s="8" t="s">
        <v>200</v>
      </c>
      <c r="D12" s="8" t="s">
        <v>201</v>
      </c>
      <c r="E12" s="28" t="s">
        <v>115</v>
      </c>
      <c r="F12" s="6" t="str">
        <f t="shared" ref="F12:F14" si="0">IF(D12&lt;&gt;"",MID(SUBSTITUTE(PROPER(D12),"_",""),$D$5,99)&amp;"Entity","")</f>
        <v>WorkerGroupMstEntity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c r="B13" s="13">
        <f>ROW(InputEntities[[#This Row],[ENo]])-10</f>
        <v>3</v>
      </c>
      <c r="C13" s="8" t="s">
        <v>133</v>
      </c>
      <c r="D13" s="8" t="s">
        <v>134</v>
      </c>
      <c r="E13" s="28" t="s">
        <v>151</v>
      </c>
      <c r="F13" s="6" t="str">
        <f t="shared" si="0"/>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c r="B14" s="13">
        <f>ROW(InputEntities[[#This Row],[ENo]])-10</f>
        <v>4</v>
      </c>
      <c r="C14" s="9" t="s">
        <v>135</v>
      </c>
      <c r="D14" s="9" t="s">
        <v>136</v>
      </c>
      <c r="E14" s="28" t="s">
        <v>202</v>
      </c>
      <c r="F14" s="7" t="str">
        <f t="shared" si="0"/>
        <v>WorkingTimePlanMstEntity</v>
      </c>
      <c r="I14" s="5">
        <f>ROW(InputValueObjects[[#This Row],[VONo]])-10</f>
        <v>4</v>
      </c>
      <c r="J14" s="8">
        <v>2</v>
      </c>
      <c r="K14" s="5" t="str">
        <f>_xlfn.XLOOKUP(InputValueObjects[[#This Row],[EntityNo]],InputEntities[ENo],InputEntities[Entity],"",0,1)</f>
        <v>WorkerGroupMstEntity</v>
      </c>
      <c r="L14" s="8" t="s">
        <v>203</v>
      </c>
      <c r="M14" s="8" t="s">
        <v>205</v>
      </c>
      <c r="N14" s="8">
        <v>1</v>
      </c>
      <c r="O14" s="8">
        <v>1</v>
      </c>
      <c r="P14" s="8" t="s">
        <v>89</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c r="B15" s="36">
        <f>ROW(InputEntities[[#This Row],[ENo]])-10</f>
        <v>5</v>
      </c>
      <c r="C15" s="9" t="s">
        <v>170</v>
      </c>
      <c r="D15" s="9" t="s">
        <v>171</v>
      </c>
      <c r="E15" s="28" t="s">
        <v>192</v>
      </c>
      <c r="F15" s="7" t="str">
        <f t="shared" ref="F15" si="1">IF(D15&lt;&gt;"",MID(SUBSTITUTE(PROPER(D15),"_",""),$D$5,99)&amp;"Entity","")</f>
        <v>PageMstEntity</v>
      </c>
      <c r="I15" s="5">
        <f>ROW(InputValueObjects[[#This Row],[VONo]])-10</f>
        <v>5</v>
      </c>
      <c r="J15" s="8">
        <v>2</v>
      </c>
      <c r="K15" s="5" t="str">
        <f>_xlfn.XLOOKUP(InputValueObjects[[#This Row],[EntityNo]],InputEntities[ENo],InputEntities[Entity],"",0,1)</f>
        <v>WorkerGroupMstEntity</v>
      </c>
      <c r="L15" s="8" t="s">
        <v>204</v>
      </c>
      <c r="M15" s="8" t="s">
        <v>206</v>
      </c>
      <c r="N15" s="8"/>
      <c r="O15" s="8">
        <v>1</v>
      </c>
      <c r="P15" s="8" t="s">
        <v>89</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c r="B16" s="36">
        <f>ROW(InputEntities[[#This Row],[ENo]])-10</f>
        <v>6</v>
      </c>
      <c r="C16" s="9" t="s">
        <v>207</v>
      </c>
      <c r="D16" s="9" t="s">
        <v>208</v>
      </c>
      <c r="E16" s="37"/>
      <c r="F16" s="7" t="str">
        <f t="shared" ref="F16:F30" si="2">IF(D16&lt;&gt;"",MID(SUBSTITUTE(PROPER(D16),"_",""),$D$5,99)&amp;"Entity","")</f>
        <v>TaskMstEntity</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WorkerMstEntity</v>
      </c>
      <c r="L17" s="8" t="s">
        <v>137</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WorkerMstEntity</v>
      </c>
      <c r="L18" s="8" t="s">
        <v>139</v>
      </c>
      <c r="M18" s="8" t="s">
        <v>140</v>
      </c>
      <c r="N18" s="8"/>
      <c r="O18" s="8">
        <v>1</v>
      </c>
      <c r="P18" s="8" t="s">
        <v>89</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WorkerMstEntity</v>
      </c>
      <c r="L19" s="8" t="s">
        <v>203</v>
      </c>
      <c r="M19" s="8" t="s">
        <v>205</v>
      </c>
      <c r="N19" s="8"/>
      <c r="O19" s="8"/>
      <c r="P19" s="8" t="s">
        <v>89</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c r="B21" s="36">
        <f>ROW(InputEntities[[#This Row],[ENo]])-10</f>
        <v>11</v>
      </c>
      <c r="C21" s="9"/>
      <c r="D21" s="9"/>
      <c r="E21" s="37"/>
      <c r="F21" s="7" t="str">
        <f t="shared" si="2"/>
        <v/>
      </c>
      <c r="I21" s="16">
        <f>ROW(InputValueObjects[[#This Row],[VONo]])-10</f>
        <v>11</v>
      </c>
      <c r="J21" s="8">
        <v>4</v>
      </c>
      <c r="K21" s="5" t="str">
        <f>_xlfn.XLOOKUP(InputValueObjects[[#This Row],[EntityNo]],InputEntities[ENo],InputEntities[Entity],"",0,1)</f>
        <v>WorkingTimePlanMstEntity</v>
      </c>
      <c r="L21" s="8" t="s">
        <v>141</v>
      </c>
      <c r="M21" s="8" t="s">
        <v>138</v>
      </c>
      <c r="N21" s="8">
        <v>1</v>
      </c>
      <c r="O21" s="8">
        <v>1</v>
      </c>
      <c r="P21" s="8" t="s">
        <v>89</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WorkingTimePlanMstEntity</v>
      </c>
      <c r="L22" s="8" t="s">
        <v>142</v>
      </c>
      <c r="M22" s="8" t="s">
        <v>143</v>
      </c>
      <c r="N22" s="8">
        <v>2</v>
      </c>
      <c r="O22" s="8">
        <v>1</v>
      </c>
      <c r="P22" s="8" t="s">
        <v>144</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WorkingTimePlanMstEntity</v>
      </c>
      <c r="L23" s="8" t="s">
        <v>145</v>
      </c>
      <c r="M23" s="8" t="s">
        <v>146</v>
      </c>
      <c r="N23" s="8"/>
      <c r="O23" s="8"/>
      <c r="P23" s="8" t="s">
        <v>147</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c r="B24" s="36">
        <f>ROW(InputEntities[[#This Row],[ENo]])-10</f>
        <v>14</v>
      </c>
      <c r="C24" s="9"/>
      <c r="D24" s="9"/>
      <c r="E24" s="37"/>
      <c r="F24" s="7" t="str">
        <f t="shared" si="2"/>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c r="B25" s="36">
        <f>ROW(InputEntities[[#This Row],[ENo]])-10</f>
        <v>15</v>
      </c>
      <c r="C25" s="9"/>
      <c r="D25" s="9"/>
      <c r="E25" s="37"/>
      <c r="F25" s="7" t="str">
        <f t="shared" si="2"/>
        <v/>
      </c>
      <c r="I25" s="5">
        <f>ROW(InputValueObjects[[#This Row],[VONo]])-10</f>
        <v>15</v>
      </c>
      <c r="J25" s="8">
        <v>5</v>
      </c>
      <c r="K25" s="16" t="str">
        <f>_xlfn.XLOOKUP(InputValueObjects[[#This Row],[EntityNo]],InputEntities[ENo],InputEntities[Entity],"",0,1)</f>
        <v>PageMstEntity</v>
      </c>
      <c r="L25" s="9" t="s">
        <v>172</v>
      </c>
      <c r="M25" s="9" t="s">
        <v>173</v>
      </c>
      <c r="N25" s="9">
        <v>1</v>
      </c>
      <c r="O25" s="9">
        <v>1</v>
      </c>
      <c r="P25" s="9" t="s">
        <v>144</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c r="B26" s="36">
        <f>ROW(InputEntities[[#This Row],[ENo]])-10</f>
        <v>16</v>
      </c>
      <c r="C26" s="9"/>
      <c r="D26" s="9"/>
      <c r="E26" s="37"/>
      <c r="F26" s="7" t="str">
        <f t="shared" si="2"/>
        <v/>
      </c>
      <c r="I26" s="16">
        <f>ROW(InputValueObjects[[#This Row],[VONo]])-10</f>
        <v>16</v>
      </c>
      <c r="J26" s="8">
        <v>5</v>
      </c>
      <c r="K26" s="5" t="str">
        <f>_xlfn.XLOOKUP(InputValueObjects[[#This Row],[EntityNo]],InputEntities[ENo],InputEntities[Entity],"",0,1)</f>
        <v>PageMstEntity</v>
      </c>
      <c r="L26" s="8" t="s">
        <v>174</v>
      </c>
      <c r="M26" s="8" t="s">
        <v>175</v>
      </c>
      <c r="N26" s="8"/>
      <c r="O26" s="8">
        <v>1</v>
      </c>
      <c r="P26" s="8" t="s">
        <v>89</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c r="B27" s="36">
        <f>ROW(InputEntities[[#This Row],[ENo]])-10</f>
        <v>17</v>
      </c>
      <c r="C27" s="9"/>
      <c r="D27" s="9"/>
      <c r="E27" s="37"/>
      <c r="F27" s="7" t="str">
        <f t="shared" si="2"/>
        <v/>
      </c>
      <c r="I27" s="16">
        <f>ROW(InputValueObjects[[#This Row],[VONo]])-10</f>
        <v>17</v>
      </c>
      <c r="J27" s="8">
        <v>5</v>
      </c>
      <c r="K27" s="5" t="str">
        <f>_xlfn.XLOOKUP(InputValueObjects[[#This Row],[EntityNo]],InputEntities[ENo],InputEntities[Entity],"",0,1)</f>
        <v>PageMstEntity</v>
      </c>
      <c r="L27" s="8" t="s">
        <v>176</v>
      </c>
      <c r="M27" s="8" t="s">
        <v>177</v>
      </c>
      <c r="N27" s="8"/>
      <c r="O27" s="8"/>
      <c r="P27" s="8" t="s">
        <v>89</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c r="B28" s="36">
        <f>ROW(InputEntities[[#This Row],[ENo]])-10</f>
        <v>18</v>
      </c>
      <c r="C28" s="9"/>
      <c r="D28" s="9"/>
      <c r="E28" s="37"/>
      <c r="F28" s="7" t="str">
        <f t="shared" si="2"/>
        <v/>
      </c>
      <c r="I28" s="16">
        <f>ROW(InputValueObjects[[#This Row],[VONo]])-10</f>
        <v>18</v>
      </c>
      <c r="J28" s="8">
        <v>5</v>
      </c>
      <c r="K28" s="16" t="str">
        <f>_xlfn.XLOOKUP(InputValueObjects[[#This Row],[EntityNo]],InputEntities[ENo],InputEntities[Entity],"",0,1)</f>
        <v>PageMstEntity</v>
      </c>
      <c r="L28" s="9" t="s">
        <v>193</v>
      </c>
      <c r="M28" s="9" t="s">
        <v>194</v>
      </c>
      <c r="N28" s="9"/>
      <c r="O28" s="9"/>
      <c r="P28" s="8" t="s">
        <v>89</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c r="B29" s="36">
        <f>ROW(InputEntities[[#This Row],[ENo]])-10</f>
        <v>19</v>
      </c>
      <c r="C29" s="9"/>
      <c r="D29" s="9"/>
      <c r="E29" s="37"/>
      <c r="F29" s="7" t="str">
        <f t="shared" si="2"/>
        <v/>
      </c>
      <c r="I29" s="16">
        <f>ROW(InputValueObjects[[#This Row],[VONo]])-10</f>
        <v>19</v>
      </c>
      <c r="J29" s="8">
        <v>5</v>
      </c>
      <c r="K29" s="5" t="str">
        <f>_xlfn.XLOOKUP(InputValueObjects[[#This Row],[EntityNo]],InputEntities[ENo],InputEntities[Entity],"",0,1)</f>
        <v>PageMstEntity</v>
      </c>
      <c r="L29" s="8" t="s">
        <v>178</v>
      </c>
      <c r="M29" s="8" t="s">
        <v>179</v>
      </c>
      <c r="N29" s="8"/>
      <c r="O29" s="8"/>
      <c r="P29" s="8" t="s">
        <v>144</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c r="B30" s="36">
        <f>ROW(InputEntities[[#This Row],[ENo]])-10</f>
        <v>20</v>
      </c>
      <c r="C30" s="9"/>
      <c r="D30" s="9"/>
      <c r="E30" s="37"/>
      <c r="F30" s="7" t="str">
        <f t="shared" si="2"/>
        <v/>
      </c>
      <c r="I30" s="16">
        <f>ROW(InputValueObjects[[#This Row],[VONo]])-10</f>
        <v>20</v>
      </c>
      <c r="J30" s="8">
        <v>5</v>
      </c>
      <c r="K30" s="16" t="str">
        <f>_xlfn.XLOOKUP(InputValueObjects[[#This Row],[EntityNo]],InputEntities[ENo],InputEntities[Entity],"",0,1)</f>
        <v>PageMstEntity</v>
      </c>
      <c r="L30" s="9" t="s">
        <v>180</v>
      </c>
      <c r="M30" s="9" t="s">
        <v>181</v>
      </c>
      <c r="N30" s="9"/>
      <c r="O30" s="9">
        <v>1</v>
      </c>
      <c r="P30" s="9" t="s">
        <v>147</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c r="B31" s="36">
        <f>ROW(InputEntities[[#This Row],[ENo]])-10</f>
        <v>21</v>
      </c>
      <c r="C31" s="8"/>
      <c r="D31" s="8"/>
      <c r="E31" s="28"/>
      <c r="F31" s="6" t="str">
        <f t="shared" ref="F31:F62" si="3">IF(D31&lt;&gt;"",MID(SUBSTITUTE(PROPER(D31),"_",""),$D$5,99)&amp;"Entity","")</f>
        <v/>
      </c>
      <c r="I31" s="16">
        <f>ROW(InputValueObjects[[#This Row],[VONo]])-10</f>
        <v>21</v>
      </c>
      <c r="J31" s="8">
        <v>5</v>
      </c>
      <c r="K31" s="16" t="str">
        <f>_xlfn.XLOOKUP(InputValueObjects[[#This Row],[EntityNo]],InputEntities[ENo],InputEntities[Entity],"",0,1)</f>
        <v>PageMstEntity</v>
      </c>
      <c r="L31" s="9" t="s">
        <v>182</v>
      </c>
      <c r="M31" s="9" t="s">
        <v>183</v>
      </c>
      <c r="N31" s="9"/>
      <c r="O31" s="9"/>
      <c r="P31" s="9" t="s">
        <v>89</v>
      </c>
      <c r="Q31" s="16" t="str">
        <f>SUBSTITUTE(PROPER(InputValueObjects[[#This Row],[DBカラム_物理名]]),"_","")</f>
        <v>Note1</v>
      </c>
      <c r="R31" s="9" t="s">
        <v>188</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c r="B32" s="36">
        <f>ROW(InputEntities[[#This Row],[ENo]])-10</f>
        <v>22</v>
      </c>
      <c r="C32" s="8"/>
      <c r="D32" s="8"/>
      <c r="E32" s="28"/>
      <c r="F32" s="6" t="str">
        <f t="shared" si="3"/>
        <v/>
      </c>
      <c r="I32" s="16">
        <f>ROW(InputValueObjects[[#This Row],[VONo]])-10</f>
        <v>22</v>
      </c>
      <c r="J32" s="8">
        <v>5</v>
      </c>
      <c r="K32" s="16" t="str">
        <f>_xlfn.XLOOKUP(InputValueObjects[[#This Row],[EntityNo]],InputEntities[ENo],InputEntities[Entity],"",0,1)</f>
        <v>PageMstEntity</v>
      </c>
      <c r="L32" s="9" t="s">
        <v>184</v>
      </c>
      <c r="M32" s="9" t="s">
        <v>185</v>
      </c>
      <c r="N32" s="9"/>
      <c r="O32" s="9"/>
      <c r="P32" s="9" t="s">
        <v>89</v>
      </c>
      <c r="Q32" s="16" t="str">
        <f>SUBSTITUTE(PROPER(InputValueObjects[[#This Row],[DBカラム_物理名]]),"_","")</f>
        <v>Note2</v>
      </c>
      <c r="R32" s="9" t="s">
        <v>188</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c r="B33" s="36">
        <f>ROW(InputEntities[[#This Row],[ENo]])-10</f>
        <v>23</v>
      </c>
      <c r="C33" s="8"/>
      <c r="D33" s="8"/>
      <c r="E33" s="28"/>
      <c r="F33" s="6" t="str">
        <f t="shared" si="3"/>
        <v/>
      </c>
      <c r="I33" s="16">
        <f>ROW(InputValueObjects[[#This Row],[VONo]])-10</f>
        <v>23</v>
      </c>
      <c r="J33" s="8">
        <v>5</v>
      </c>
      <c r="K33" s="16" t="str">
        <f>_xlfn.XLOOKUP(InputValueObjects[[#This Row],[EntityNo]],InputEntities[ENo],InputEntities[Entity],"",0,1)</f>
        <v>PageMstEntity</v>
      </c>
      <c r="L33" s="9" t="s">
        <v>186</v>
      </c>
      <c r="M33" s="9" t="s">
        <v>187</v>
      </c>
      <c r="N33" s="9"/>
      <c r="O33" s="9"/>
      <c r="P33" s="9" t="s">
        <v>89</v>
      </c>
      <c r="Q33" s="16" t="str">
        <f>SUBSTITUTE(PROPER(InputValueObjects[[#This Row],[DBカラム_物理名]]),"_","")</f>
        <v>Note3</v>
      </c>
      <c r="R33" s="9" t="s">
        <v>188</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c r="B35" s="36">
        <f>ROW(InputEntities[[#This Row],[ENo]])-10</f>
        <v>25</v>
      </c>
      <c r="C35" s="8"/>
      <c r="D35" s="8"/>
      <c r="E35" s="28"/>
      <c r="F35" s="6" t="str">
        <f t="shared" si="3"/>
        <v/>
      </c>
      <c r="I35" s="16">
        <f>ROW(InputValueObjects[[#This Row],[VONo]])-10</f>
        <v>25</v>
      </c>
      <c r="J35" s="8">
        <v>6</v>
      </c>
      <c r="K35" s="5" t="str">
        <f>_xlfn.XLOOKUP(InputValueObjects[[#This Row],[EntityNo]],InputEntities[ENo],InputEntities[Entity],"",0,1)</f>
        <v>TaskMstEntity</v>
      </c>
      <c r="L35" s="8" t="s">
        <v>209</v>
      </c>
      <c r="M35" s="8" t="s">
        <v>210</v>
      </c>
      <c r="N35" s="8">
        <v>1</v>
      </c>
      <c r="O35" s="8">
        <v>1</v>
      </c>
      <c r="P35" s="8" t="s">
        <v>144</v>
      </c>
      <c r="Q35" s="5" t="str">
        <f>SUBSTITUTE(PROPER(InputValueObjects[[#This Row],[DBカラム_物理名]]),"_","")</f>
        <v>TaskId</v>
      </c>
      <c r="R35" s="8"/>
      <c r="S35" s="5" t="str">
        <f>InputValueObjects[[#This Row],[ValueObject_ベース]]</f>
        <v>TaskId</v>
      </c>
      <c r="T35" s="5" t="str">
        <f>IF(InputValueObjects[[#This Row],[ValueObject_修正]]="",SUBSTITUTE(PROPER(InputValueObjects[[#This Row],[DBカラム_物理名]]),"_",""),InputValueObjects[[#This Row],[ValueObject_修正]])</f>
        <v>TaskId</v>
      </c>
      <c r="U35" s="5" t="str">
        <f>IF(InputValueObjects[[#This Row],[型_ベース]]="","",InputValueObjects[[#This Row],[型_ベース]]&amp;IF(InputValueObjects[[#This Row],[NotNull]]=1,"","?"))</f>
        <v>int</v>
      </c>
    </row>
    <row r="36" spans="2:21">
      <c r="B36" s="36">
        <f>ROW(InputEntities[[#This Row],[ENo]])-10</f>
        <v>26</v>
      </c>
      <c r="C36" s="8"/>
      <c r="D36" s="8"/>
      <c r="E36" s="28"/>
      <c r="F36" s="6" t="str">
        <f t="shared" si="3"/>
        <v/>
      </c>
      <c r="I36" s="16">
        <f>ROW(InputValueObjects[[#This Row],[VONo]])-10</f>
        <v>26</v>
      </c>
      <c r="J36" s="8">
        <v>6</v>
      </c>
      <c r="K36" s="5" t="str">
        <f>_xlfn.XLOOKUP(InputValueObjects[[#This Row],[EntityNo]],InputEntities[ENo],InputEntities[Entity],"",0,1)</f>
        <v>TaskMstEntity</v>
      </c>
      <c r="L36" s="8" t="s">
        <v>218</v>
      </c>
      <c r="M36" s="8" t="s">
        <v>217</v>
      </c>
      <c r="N36" s="8"/>
      <c r="O36" s="8"/>
      <c r="P36" s="8" t="s">
        <v>89</v>
      </c>
      <c r="Q36" s="5" t="str">
        <f>SUBSTITUTE(PROPER(InputValueObjects[[#This Row],[DBカラム_物理名]]),"_","")</f>
        <v>TaskItem</v>
      </c>
      <c r="R36" s="8"/>
      <c r="S36" s="5" t="str">
        <f>InputValueObjects[[#This Row],[ValueObject_ベース]]</f>
        <v>TaskItem</v>
      </c>
      <c r="T36" s="5" t="str">
        <f>IF(InputValueObjects[[#This Row],[ValueObject_修正]]="",SUBSTITUTE(PROPER(InputValueObjects[[#This Row],[DBカラム_物理名]]),"_",""),InputValueObjects[[#This Row],[ValueObject_修正]])</f>
        <v>TaskItem</v>
      </c>
      <c r="U36" s="5" t="str">
        <f>IF(InputValueObjects[[#This Row],[型_ベース]]="","",InputValueObjects[[#This Row],[型_ベース]]&amp;IF(InputValueObjects[[#This Row],[NotNull]]=1,"","?"))</f>
        <v>string?</v>
      </c>
    </row>
    <row r="37" spans="2:21">
      <c r="B37" s="36">
        <f>ROW(InputEntities[[#This Row],[ENo]])-10</f>
        <v>27</v>
      </c>
      <c r="C37" s="8"/>
      <c r="D37" s="8"/>
      <c r="E37" s="28"/>
      <c r="F37" s="6" t="str">
        <f t="shared" si="3"/>
        <v/>
      </c>
      <c r="I37" s="16">
        <f>ROW(InputValueObjects[[#This Row],[VONo]])-10</f>
        <v>27</v>
      </c>
      <c r="J37" s="8">
        <v>6</v>
      </c>
      <c r="K37" s="5" t="str">
        <f>_xlfn.XLOOKUP(InputValueObjects[[#This Row],[EntityNo]],InputEntities[ENo],InputEntities[Entity],"",0,1)</f>
        <v>TaskMstEntity</v>
      </c>
      <c r="L37" s="8" t="s">
        <v>211</v>
      </c>
      <c r="M37" s="8" t="s">
        <v>212</v>
      </c>
      <c r="N37" s="8"/>
      <c r="O37" s="8"/>
      <c r="P37" s="8" t="s">
        <v>216</v>
      </c>
      <c r="Q37" s="5" t="str">
        <f>SUBSTITUTE(PROPER(InputValueObjects[[#This Row],[DBカラム_物理名]]),"_","")</f>
        <v>TaskDeadLine</v>
      </c>
      <c r="R37" s="8"/>
      <c r="S37" s="5" t="str">
        <f>InputValueObjects[[#This Row],[ValueObject_ベース]]</f>
        <v>TaskDeadLine</v>
      </c>
      <c r="T37" s="5" t="str">
        <f>IF(InputValueObjects[[#This Row],[ValueObject_修正]]="",SUBSTITUTE(PROPER(InputValueObjects[[#This Row],[DBカラム_物理名]]),"_",""),InputValueObjects[[#This Row],[ValueObject_修正]])</f>
        <v>TaskDeadLine</v>
      </c>
      <c r="U37" s="5" t="str">
        <f>IF(InputValueObjects[[#This Row],[型_ベース]]="","",InputValueObjects[[#This Row],[型_ベース]]&amp;IF(InputValueObjects[[#This Row],[NotNull]]=1,"","?"))</f>
        <v>DateTime?</v>
      </c>
    </row>
    <row r="38" spans="2:21">
      <c r="B38" s="36">
        <f>ROW(InputEntities[[#This Row],[ENo]])-10</f>
        <v>28</v>
      </c>
      <c r="C38" s="8"/>
      <c r="D38" s="8"/>
      <c r="E38" s="28"/>
      <c r="F38" s="6" t="str">
        <f t="shared" si="3"/>
        <v/>
      </c>
      <c r="I38" s="16">
        <f>ROW(InputValueObjects[[#This Row],[VONo]])-10</f>
        <v>28</v>
      </c>
      <c r="J38" s="8">
        <v>6</v>
      </c>
      <c r="K38" s="5" t="str">
        <f>_xlfn.XLOOKUP(InputValueObjects[[#This Row],[EntityNo]],InputEntities[ENo],InputEntities[Entity],"",0,1)</f>
        <v>TaskMstEntity</v>
      </c>
      <c r="L38" s="8" t="s">
        <v>213</v>
      </c>
      <c r="M38" s="8" t="s">
        <v>214</v>
      </c>
      <c r="N38" s="8"/>
      <c r="O38" s="8"/>
      <c r="P38" s="8" t="s">
        <v>89</v>
      </c>
      <c r="Q38" s="5" t="str">
        <f>SUBSTITUTE(PROPER(InputValueObjects[[#This Row],[DBカラム_物理名]]),"_","")</f>
        <v>ProcessCode</v>
      </c>
      <c r="R38" s="8"/>
      <c r="S38" s="5" t="str">
        <f>InputValueObjects[[#This Row],[ValueObject_ベース]]</f>
        <v>ProcessCode</v>
      </c>
      <c r="T38" s="5" t="str">
        <f>IF(InputValueObjects[[#This Row],[ValueObject_修正]]="",SUBSTITUTE(PROPER(InputValueObjects[[#This Row],[DBカラム_物理名]]),"_",""),InputValueObjects[[#This Row],[ValueObject_修正]])</f>
        <v>ProcessCode</v>
      </c>
      <c r="U38" s="5" t="str">
        <f>IF(InputValueObjects[[#This Row],[型_ベース]]="","",InputValueObjects[[#This Row],[型_ベース]]&amp;IF(InputValueObjects[[#This Row],[NotNull]]=1,"","?"))</f>
        <v>string?</v>
      </c>
    </row>
    <row r="39" spans="2:21">
      <c r="B39" s="36">
        <f>ROW(InputEntities[[#This Row],[ENo]])-10</f>
        <v>29</v>
      </c>
      <c r="C39" s="8"/>
      <c r="D39" s="8"/>
      <c r="E39" s="28"/>
      <c r="F39" s="6" t="str">
        <f t="shared" si="3"/>
        <v/>
      </c>
      <c r="I39" s="16">
        <f>ROW(InputValueObjects[[#This Row],[VONo]])-10</f>
        <v>29</v>
      </c>
      <c r="J39" s="8">
        <v>6</v>
      </c>
      <c r="K39" s="5" t="str">
        <f>_xlfn.XLOOKUP(InputValueObjects[[#This Row],[EntityNo]],InputEntities[ENo],InputEntities[Entity],"",0,1)</f>
        <v>TaskMstEntity</v>
      </c>
      <c r="L39" s="8" t="s">
        <v>215</v>
      </c>
      <c r="M39" s="8" t="s">
        <v>138</v>
      </c>
      <c r="N39" s="8"/>
      <c r="O39" s="8"/>
      <c r="P39" s="8" t="s">
        <v>89</v>
      </c>
      <c r="Q39" s="5" t="str">
        <f>SUBSTITUTE(PROPER(InputValueObjects[[#This Row],[DBカラム_物理名]]),"_","")</f>
        <v>WorkerCode</v>
      </c>
      <c r="R39" s="8"/>
      <c r="S39" s="5" t="str">
        <f>InputValueObjects[[#This Row],[ValueObject_ベース]]</f>
        <v>WorkerCode</v>
      </c>
      <c r="T39" s="5" t="str">
        <f>IF(InputValueObjects[[#This Row],[ValueObject_修正]]="",SUBSTITUTE(PROPER(InputValueObjects[[#This Row],[DBカラム_物理名]]),"_",""),InputValueObjects[[#This Row],[ValueObject_修正]])</f>
        <v>WorkerCode</v>
      </c>
      <c r="U39" s="5" t="str">
        <f>IF(InputValueObjects[[#This Row],[型_ベース]]="","",InputValueObjects[[#This Row],[型_ベース]]&amp;IF(InputValueObjects[[#This Row],[NotNull]]=1,"","?"))</f>
        <v>string?</v>
      </c>
    </row>
    <row r="40" spans="2:21">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c r="B41" s="36">
        <f>ROW(InputEntities[[#This Row],[ENo]])-10</f>
        <v>31</v>
      </c>
      <c r="C41" s="8"/>
      <c r="D41" s="8"/>
      <c r="E41" s="28"/>
      <c r="F41" s="6" t="str">
        <f t="shared" si="3"/>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c r="B44" s="36">
        <f>ROW(InputEntities[[#This Row],[ENo]])-10</f>
        <v>34</v>
      </c>
      <c r="C44" s="8"/>
      <c r="D44" s="8"/>
      <c r="E44" s="28"/>
      <c r="F44" s="6" t="str">
        <f t="shared" si="3"/>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c r="B46" s="36">
        <f>ROW(InputEntities[[#This Row],[ENo]])-10</f>
        <v>36</v>
      </c>
      <c r="C46" s="8"/>
      <c r="D46" s="8"/>
      <c r="E46" s="28"/>
      <c r="F46" s="6" t="str">
        <f t="shared" si="3"/>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c r="B47" s="36">
        <f>ROW(InputEntities[[#This Row],[ENo]])-10</f>
        <v>37</v>
      </c>
      <c r="C47" s="8"/>
      <c r="D47" s="8"/>
      <c r="E47" s="28"/>
      <c r="F47" s="6" t="str">
        <f t="shared" si="3"/>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c r="B48" s="36">
        <f>ROW(InputEntities[[#This Row],[ENo]])-10</f>
        <v>38</v>
      </c>
      <c r="C48" s="8"/>
      <c r="D48" s="8"/>
      <c r="E48" s="28"/>
      <c r="F48" s="6" t="str">
        <f t="shared" si="3"/>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c r="B49" s="36">
        <f>ROW(InputEntities[[#This Row],[ENo]])-10</f>
        <v>39</v>
      </c>
      <c r="C49" s="8"/>
      <c r="D49" s="8"/>
      <c r="E49" s="28"/>
      <c r="F49" s="6" t="str">
        <f t="shared" si="3"/>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topLeftCell="O1" zoomScale="70" zoomScaleNormal="70" workbookViewId="0">
      <selection activeCell="Q2" sqref="Q2"/>
    </sheetView>
  </sheetViews>
  <sheetFormatPr defaultRowHeight="15.45"/>
  <cols>
    <col min="1" max="1" width="47.4375" customWidth="1"/>
    <col min="2" max="2" width="38.9375" customWidth="1"/>
    <col min="3" max="4" width="33.25" customWidth="1"/>
    <col min="5" max="8" width="28.5625" customWidth="1"/>
    <col min="9" max="9" width="36.5" customWidth="1"/>
    <col min="10" max="10" width="41" customWidth="1"/>
    <col min="11" max="11" width="42.5" customWidth="1"/>
    <col min="12" max="12" width="51.6875" customWidth="1"/>
    <col min="13" max="13" width="46.4375" customWidth="1"/>
    <col min="14" max="14" width="45.1875" customWidth="1"/>
    <col min="15" max="16" width="70.625" customWidth="1"/>
    <col min="17" max="17" width="56.0625" customWidth="1"/>
  </cols>
  <sheetData>
    <row r="1" spans="1:17">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6" customHeight="1">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195</v>
      </c>
      <c r="P2" s="23" t="s">
        <v>196</v>
      </c>
      <c r="Q2" s="23" t="s">
        <v>197</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45"/>
  <cols>
    <col min="2" max="2" width="11.3125" bestFit="1" customWidth="1"/>
    <col min="3" max="3" width="17.875" bestFit="1" customWidth="1"/>
  </cols>
  <sheetData>
    <row r="1" spans="1:3">
      <c r="A1" t="s">
        <v>11</v>
      </c>
      <c r="B1" t="s">
        <v>92</v>
      </c>
      <c r="C1" t="s">
        <v>40</v>
      </c>
    </row>
    <row r="2" spans="1:3">
      <c r="A2" t="s">
        <v>12</v>
      </c>
      <c r="B2" t="s">
        <v>93</v>
      </c>
      <c r="C2" t="s">
        <v>41</v>
      </c>
    </row>
    <row r="3" spans="1:3">
      <c r="A3" t="s">
        <v>13</v>
      </c>
      <c r="B3" t="s">
        <v>94</v>
      </c>
      <c r="C3" t="s">
        <v>42</v>
      </c>
    </row>
    <row r="4" spans="1:3">
      <c r="A4" t="s">
        <v>14</v>
      </c>
      <c r="B4" t="s">
        <v>95</v>
      </c>
      <c r="C4" t="s">
        <v>43</v>
      </c>
    </row>
    <row r="5" spans="1:3">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zoomScaleNormal="100" workbookViewId="0"/>
  </sheetViews>
  <sheetFormatPr defaultRowHeight="15.45"/>
  <cols>
    <col min="1" max="1" width="2.5625" customWidth="1"/>
    <col min="2" max="2" width="11.5625" bestFit="1" customWidth="1"/>
    <col min="3" max="3" width="30.9375" customWidth="1"/>
    <col min="4" max="5" width="15.9375" bestFit="1" customWidth="1"/>
    <col min="6" max="6" width="22.5625" customWidth="1"/>
  </cols>
  <sheetData>
    <row r="1" spans="1:6" ht="19.3">
      <c r="A1" s="1" t="s">
        <v>167</v>
      </c>
    </row>
    <row r="3" spans="1:6">
      <c r="B3" s="2" t="s">
        <v>154</v>
      </c>
      <c r="C3" s="3" t="s">
        <v>189</v>
      </c>
    </row>
    <row r="6" spans="1:6">
      <c r="B6" t="s">
        <v>155</v>
      </c>
      <c r="C6" t="s">
        <v>164</v>
      </c>
      <c r="D6" t="s">
        <v>165</v>
      </c>
      <c r="E6" t="s">
        <v>156</v>
      </c>
      <c r="F6" t="s">
        <v>157</v>
      </c>
    </row>
    <row r="7" spans="1:6" ht="20.05" customHeight="1">
      <c r="B7" s="48" t="s">
        <v>158</v>
      </c>
      <c r="C7" s="48" t="s">
        <v>15</v>
      </c>
      <c r="D7" s="48" t="s">
        <v>15</v>
      </c>
      <c r="E7" s="48" t="str">
        <f>ValueObject[[#Headers],[ValueObject]]</f>
        <v>ValueObject</v>
      </c>
      <c r="F7" s="48" t="str">
        <f>ValueObject[[#Headers],[ValueObjectコード]]</f>
        <v>ValueObjectコード</v>
      </c>
    </row>
    <row r="8" spans="1:6" ht="20.05" customHeight="1">
      <c r="B8" s="48" t="s">
        <v>159</v>
      </c>
      <c r="C8" s="48" t="s">
        <v>7</v>
      </c>
      <c r="D8" s="48" t="s">
        <v>7</v>
      </c>
      <c r="E8" s="48" t="str">
        <f>Entity[[#Headers],[Entity]]</f>
        <v>Entity</v>
      </c>
      <c r="F8" s="48" t="str">
        <f>Entity[[#Headers],[Entity(get)コード]]</f>
        <v>Entity(get)コード</v>
      </c>
    </row>
    <row r="9" spans="1:6" ht="20.05" customHeight="1">
      <c r="B9" s="48" t="s">
        <v>160</v>
      </c>
      <c r="C9" s="48" t="s">
        <v>166</v>
      </c>
      <c r="D9" s="48" t="s">
        <v>166</v>
      </c>
      <c r="E9" s="48" t="str">
        <f>IRepository[[#Headers],[IRepository]]</f>
        <v>IRepository</v>
      </c>
      <c r="F9" s="48" t="str">
        <f>IRepository[[#Headers],[IRepositoryコード]]</f>
        <v>IRepositoryコード</v>
      </c>
    </row>
    <row r="10" spans="1:6" ht="20.05" customHeight="1">
      <c r="B10" s="48" t="s">
        <v>161</v>
      </c>
      <c r="C10" s="48" t="s">
        <v>53</v>
      </c>
      <c r="D10" s="48" t="s">
        <v>53</v>
      </c>
      <c r="E10" s="48" t="str">
        <f>Repository_SQLite[[#Headers],[Repository_SQLite]]</f>
        <v>Repository_SQLite</v>
      </c>
      <c r="F10" s="48" t="str">
        <f>Repository_SQLite[[#Headers],[RepositorySQLiteコード]]</f>
        <v>RepositorySQLiteコード</v>
      </c>
    </row>
    <row r="11" spans="1:6" ht="20.05" customHeight="1">
      <c r="B11" s="48" t="s">
        <v>162</v>
      </c>
      <c r="C11" s="48" t="s">
        <v>76</v>
      </c>
      <c r="D11" s="48" t="s">
        <v>76</v>
      </c>
      <c r="E11" s="48" t="str">
        <f>Repository_Oracle[[#Headers],[Repository_Oracle]]</f>
        <v>Repository_Oracle</v>
      </c>
      <c r="F11" s="48"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workbookViewId="0"/>
  </sheetViews>
  <sheetFormatPr defaultRowHeight="15.45"/>
  <cols>
    <col min="2" max="2" width="10.5625" bestFit="1" customWidth="1"/>
    <col min="3" max="3" width="59.4375" bestFit="1" customWidth="1"/>
  </cols>
  <sheetData>
    <row r="1" spans="1:3">
      <c r="A1" t="s">
        <v>103</v>
      </c>
      <c r="B1" t="s">
        <v>105</v>
      </c>
      <c r="C1" t="s">
        <v>104</v>
      </c>
    </row>
    <row r="2" spans="1:3">
      <c r="A2" t="s">
        <v>106</v>
      </c>
      <c r="B2" s="42">
        <v>44925</v>
      </c>
      <c r="C2" t="s">
        <v>107</v>
      </c>
    </row>
    <row r="3" spans="1:3">
      <c r="A3" t="s">
        <v>116</v>
      </c>
      <c r="B3" s="42">
        <v>44934</v>
      </c>
      <c r="C3" t="s">
        <v>117</v>
      </c>
    </row>
    <row r="4" spans="1:3">
      <c r="A4" t="s">
        <v>131</v>
      </c>
      <c r="B4" s="42">
        <v>44934</v>
      </c>
      <c r="C4" t="s">
        <v>132</v>
      </c>
    </row>
    <row r="5" spans="1:3">
      <c r="A5" t="s">
        <v>148</v>
      </c>
      <c r="B5" s="42">
        <v>44940</v>
      </c>
      <c r="C5" t="s">
        <v>149</v>
      </c>
    </row>
    <row r="6" spans="1:3" ht="30.9">
      <c r="A6" t="s">
        <v>153</v>
      </c>
      <c r="B6" s="42">
        <v>44952</v>
      </c>
      <c r="C6" s="47" t="s">
        <v>163</v>
      </c>
    </row>
    <row r="7" spans="1:3">
      <c r="A7" t="s">
        <v>168</v>
      </c>
      <c r="B7" s="42">
        <v>44954</v>
      </c>
      <c r="C7" t="s">
        <v>169</v>
      </c>
    </row>
    <row r="8" spans="1:3">
      <c r="A8" t="s">
        <v>190</v>
      </c>
      <c r="B8" s="42">
        <v>44955</v>
      </c>
      <c r="C8" t="s">
        <v>191</v>
      </c>
    </row>
    <row r="9" spans="1:3">
      <c r="A9" t="s">
        <v>198</v>
      </c>
      <c r="B9" s="42">
        <v>44955</v>
      </c>
      <c r="C9" t="s">
        <v>199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45"/>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05" customHeight="1" outlineLevelCol="1"/>
  <cols>
    <col min="1" max="1" width="2.5625" customWidth="1"/>
    <col min="2" max="2" width="7.8125" bestFit="1" customWidth="1"/>
    <col min="3" max="3" width="31" bestFit="1" customWidth="1"/>
    <col min="4" max="4" width="25.375" bestFit="1" customWidth="1"/>
    <col min="5" max="5" width="25.375" hidden="1" customWidth="1" outlineLevel="1"/>
    <col min="6" max="6" width="32.0625" hidden="1" customWidth="1" outlineLevel="1"/>
    <col min="7" max="9" width="9" hidden="1" customWidth="1" outlineLevel="1"/>
    <col min="10" max="10" width="27.9375" hidden="1" customWidth="1" outlineLevel="1"/>
    <col min="11" max="11" width="22.625" hidden="1" customWidth="1" outlineLevel="1"/>
    <col min="12" max="12" width="27.9375" hidden="1" customWidth="1" outlineLevel="1"/>
    <col min="13" max="13" width="15.6875" hidden="1" customWidth="1" outlineLevel="1"/>
    <col min="14" max="14" width="44.6875" hidden="1" customWidth="1" outlineLevel="1"/>
    <col min="15" max="18" width="27.125" hidden="1" customWidth="1" outlineLevel="1"/>
    <col min="19" max="19" width="28.1875" hidden="1" customWidth="1" outlineLevel="1"/>
    <col min="20" max="20" width="27.125" hidden="1" customWidth="1" outlineLevel="1"/>
    <col min="21" max="21" width="32.0625" hidden="1" customWidth="1" outlineLevel="1"/>
    <col min="22" max="22" width="33.6875" hidden="1" customWidth="1" outlineLevel="1"/>
    <col min="23" max="23" width="35.5" hidden="1" customWidth="1" outlineLevel="1"/>
    <col min="24" max="24" width="33.625" hidden="1" customWidth="1" outlineLevel="1"/>
    <col min="25" max="25" width="33.625" customWidth="1" collapsed="1"/>
    <col min="26" max="26" width="49.6875" customWidth="1"/>
    <col min="27" max="27" width="64.75" customWidth="1"/>
  </cols>
  <sheetData>
    <row r="1" spans="1:25" ht="19.3">
      <c r="A1" s="1" t="s">
        <v>15</v>
      </c>
    </row>
    <row r="2" spans="1:25" ht="15.45"/>
    <row r="3" spans="1:25" ht="15.45">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 customHeight="1">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05" customHeight="1">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75" customHeight="1">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05" customHeight="1">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Row],[Convert]]),"__TableColumn__",ValueObject[[#This Row],[DBテーブル_物理名]])</f>
        <v>Convert.ToString(reader["worker_group_code"])</v>
      </c>
      <c r="S7" s="19" t="str" cm="1">
        <f t="array" ref="S7">SUBSTITUTE(SUBSTITUTE(Templates[Repository_Entity_Args_Null],"__Convert__",ValueObject[[#This Row],[Convert]]),"__TableColumn__",ValueObject[[#This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Row],[型]]),"__EntityProperty__",ValueObject[[#This Row],[Entity_プロパティ]])</f>
        <v xml:space="preserve">        public string WorkerGroupCode =&gt; Entity.WorkerGroupCode.Value;</v>
      </c>
      <c r="X7" s="19" t="str" cm="1">
        <f t="array" ref="X7">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05" customHeight="1">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Row],[Convert]]),"__TableColumn__",ValueObject[[#This Row],[DBテーブル_物理名]])</f>
        <v>Convert.ToString(reader["worker_group_name"])</v>
      </c>
      <c r="S8" s="19" t="str" cm="1">
        <f t="array" ref="S8">SUBSTITUTE(SUBSTITUTE(Templates[Repository_Entity_Args_Null],"__Convert__",ValueObject[[#This Row],[Convert]]),"__TableColumn__",ValueObject[[#This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Row],[型]]),"__EntityProperty__",ValueObject[[#This Row],[Entity_プロパティ]])</f>
        <v xml:space="preserve">        public string WorkerGroupName =&gt; Entity.WorkerGroupName.Value;</v>
      </c>
      <c r="X8" s="19" t="str" cm="1">
        <f t="array" ref="X8">SUBSTITUTE(SUBSTITUTE(Templates[ViewModelEntity_Property_getset],"__Type__",ValueObject[[#This Row],[型]]),"__EntityProperty__",ValueObject[[#This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05" customHeight="1">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75" customHeight="1">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05" customHeight="1">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Row],[Convert]]),"__TableColumn__",ValueObject[[#This Row],[DBテーブル_物理名]])</f>
        <v>Convert.ToString(reader["worker_name"])</v>
      </c>
      <c r="S11" s="19" t="str" cm="1">
        <f t="array" ref="S11">SUBSTITUTE(SUBSTITUTE(Templates[Repository_Entity_Args_Null],"__Convert__",ValueObject[[#This Row],[Convert]]),"__TableColumn__",ValueObject[[#This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Row],[型]]),"__EntityProperty__",ValueObject[[#This Row],[Entity_プロパティ]])</f>
        <v xml:space="preserve">        public string WorkerName =&gt; Entity.WorkerName.Value;</v>
      </c>
      <c r="X11" s="19" t="str" cm="1">
        <f t="array" ref="X11">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05" customHeight="1">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Row],[Convert]]),"__TableColumn__",ValueObject[[#This Row],[DBテーブル_物理名]])</f>
        <v>Convert.ToString(reader["worker_group_code"])</v>
      </c>
      <c r="S12" s="19" t="str" cm="1">
        <f t="array" ref="S12">SUBSTITUTE(SUBSTITUTE(Templates[Repository_Entity_Args_Null],"__Convert__",ValueObject[[#This Row],[Convert]]),"__TableColumn__",ValueObject[[#This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Row],[型]]),"__EntityProperty__",ValueObject[[#This Row],[Entity_プロパティ]])</f>
        <v xml:space="preserve">        public string? WorkerGroupCode =&gt; Entity.WorkerGroupCode.Value;</v>
      </c>
      <c r="X12" s="19" t="str" cm="1">
        <f t="array" ref="X12">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05" customHeight="1">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Entity..Value;</v>
      </c>
      <c r="X13" s="19" t="str" cm="1">
        <f t="array" ref="X13">SUBSTITUTE(SUBSTITUTE(Templates[ViewModelEntity_Property_getset],"__Type__",ValueObject[[#This Row],[型]]),"__EntityProperty__",ValueObject[[#This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Row],[ValueObject]]),"__VOType__",ValueObject[[#This Row],[型]]))</f>
        <v/>
      </c>
    </row>
    <row r="14" spans="1:25" ht="20.05" customHeight="1">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Row],[Convert]]),"__TableColumn__",ValueObject[[#This Row],[DBテーブル_物理名]])</f>
        <v>Convert.ToString(reader["worker_code"])</v>
      </c>
      <c r="S14" s="19" t="str" cm="1">
        <f t="array" ref="S14">SUBSTITUTE(SUBSTITUTE(Templates[Repository_Entity_Args_Null],"__Convert__",ValueObject[[#This Row],[Convert]]),"__TableColumn__",ValueObject[[#This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Row],[型]]),"__EntityProperty__",ValueObject[[#This Row],[Entity_プロパティ]])</f>
        <v xml:space="preserve">        public string WorkerCode =&gt; Entity.WorkerCode.Value;</v>
      </c>
      <c r="X14" s="19" t="str" cm="1">
        <f t="array" ref="X14">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05" customHeight="1">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Row],[Convert]]),"__TableColumn__",ValueObject[[#This Row],[DBテーブル_物理名]])</f>
        <v>Convert.ToInt32(reader["weekday"])</v>
      </c>
      <c r="S15" s="19" t="str" cm="1">
        <f t="array" ref="S15">SUBSTITUTE(SUBSTITUTE(Templates[Repository_Entity_Args_Null],"__Convert__",ValueObject[[#This Row],[Convert]]),"__TableColumn__",ValueObject[[#This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Row],[型]]),"__EntityProperty__",ValueObject[[#This Row],[Entity_プロパティ]])</f>
        <v xml:space="preserve">        public int Weekday =&gt; Entity.Weekday.Value;</v>
      </c>
      <c r="X15" s="19" t="str" cm="1">
        <f t="array" ref="X15">SUBSTITUTE(SUBSTITUTE(Templates[ViewModelEntity_Property_getset],"__Type__",ValueObject[[#This Row],[型]]),"__EntityProperty__",ValueObject[[#This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05" customHeight="1">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Row],[Convert]]),"__TableColumn__",ValueObject[[#This Row],[DBテーブル_物理名]])</f>
        <v>Convert.ToSingle(reader["working_time"])</v>
      </c>
      <c r="S16" s="19" t="str" cm="1">
        <f t="array" ref="S16">SUBSTITUTE(SUBSTITUTE(Templates[Repository_Entity_Args_Null],"__Convert__",ValueObject[[#This Row],[Convert]]),"__TableColumn__",ValueObject[[#This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Row],[型]]),"__EntityProperty__",ValueObject[[#This Row],[Entity_プロパティ]])</f>
        <v xml:space="preserve">        public float? WorkingTime =&gt; Entity.WorkingTime.Value;</v>
      </c>
      <c r="X16" s="19" t="str" cm="1">
        <f t="array" ref="X16">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05" customHeight="1">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Entity..Value;</v>
      </c>
      <c r="X17" s="19" t="str" cm="1">
        <f t="array" ref="X17">SUBSTITUTE(SUBSTITUTE(Templates[ViewModelEntity_Property_getset],"__Type__",ValueObject[[#This Row],[型]]),"__EntityProperty__",ValueObject[[#This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Row],[ValueObject]]),"__VOType__",ValueObject[[#This Row],[型]]))</f>
        <v/>
      </c>
    </row>
    <row r="18" spans="2:25" ht="20.05" customHeight="1">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Row],[Convert]]),"__TableColumn__",ValueObject[[#This Row],[DBテーブル_物理名]])</f>
        <v>Convert.ToInt32(reader["page_id"])</v>
      </c>
      <c r="S18" s="19" t="str" cm="1">
        <f t="array" ref="S18">SUBSTITUTE(SUBSTITUTE(Templates[Repository_Entity_Args_Null],"__Convert__",ValueObject[[#This Row],[Convert]]),"__TableColumn__",ValueObject[[#This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Row],[型]]),"__EntityProperty__",ValueObject[[#This Row],[Entity_プロパティ]])</f>
        <v xml:space="preserve">        public int PageId =&gt; Entity.PageId.Value;</v>
      </c>
      <c r="X18" s="19" t="str" cm="1">
        <f t="array" ref="X18">SUBSTITUTE(SUBSTITUTE(Templates[ViewModelEntity_Property_getset],"__Type__",ValueObject[[#This Row],[型]]),"__EntityProperty__",ValueObject[[#This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05" customHeight="1">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Row],[Convert]]),"__TableColumn__",ValueObject[[#This Row],[DBテーブル_物理名]])</f>
        <v>Convert.ToString(reader["page_name"])</v>
      </c>
      <c r="S19" s="19" t="str" cm="1">
        <f t="array" ref="S19">SUBSTITUTE(SUBSTITUTE(Templates[Repository_Entity_Args_Null],"__Convert__",ValueObject[[#This Row],[Convert]]),"__TableColumn__",ValueObject[[#This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Row],[型]]),"__EntityProperty__",ValueObject[[#This Row],[Entity_プロパティ]])</f>
        <v xml:space="preserve">        public string PageName =&gt; Entity.PageName.Value;</v>
      </c>
      <c r="X19" s="19" t="str" cm="1">
        <f t="array" ref="X19">SUBSTITUTE(SUBSTITUTE(Templates[ViewModelEntity_Property_getset],"__Type__",ValueObject[[#This Row],[型]]),"__EntityProperty__",ValueObject[[#This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05" customHeight="1">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Row],[Convert]]),"__TableColumn__",ValueObject[[#This Row],[DBテーブル_物理名]])</f>
        <v>Convert.ToString(reader["movie_link"])</v>
      </c>
      <c r="S20" s="19" t="str" cm="1">
        <f t="array" ref="S20">SUBSTITUTE(SUBSTITUTE(Templates[Repository_Entity_Args_Null],"__Convert__",ValueObject[[#This Row],[Convert]]),"__TableColumn__",ValueObject[[#This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Row],[型]]),"__EntityProperty__",ValueObject[[#This Row],[Entity_プロパティ]])</f>
        <v xml:space="preserve">        public string? MovieLink =&gt; Entity.MovieLink.Value;</v>
      </c>
      <c r="X20" s="19" t="str" cm="1">
        <f t="array" ref="X20">SUBSTITUTE(SUBSTITUTE(Templates[ViewModelEntity_Property_getset],"__Type__",ValueObject[[#This Row],[型]]),"__EntityProperty__",ValueObject[[#This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05" customHeight="1">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Row],[Convert]]),"__TableColumn__",ValueObject[[#This Row],[DBテーブル_物理名]])</f>
        <v>Convert.ToString(reader["image_folder_link"])</v>
      </c>
      <c r="S21" s="19" t="str" cm="1">
        <f t="array" ref="S21">SUBSTITUTE(SUBSTITUTE(Templates[Repository_Entity_Args_Null],"__Convert__",ValueObject[[#This Row],[Convert]]),"__TableColumn__",ValueObject[[#This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Row],[型]]),"__EntityProperty__",ValueObject[[#This Row],[Entity_プロパティ]])</f>
        <v xml:space="preserve">        public string? ImageFolderLink =&gt; Entity.ImageFolderLink.Value;</v>
      </c>
      <c r="X21" s="19" t="str" cm="1">
        <f t="array" ref="X21">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05" customHeight="1">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Row],[Convert]]),"__TableColumn__",ValueObject[[#This Row],[DBテーブル_物理名]])</f>
        <v>Convert.ToInt32(reader["image_page_no"])</v>
      </c>
      <c r="S22" s="19" t="str" cm="1">
        <f t="array" ref="S22">SUBSTITUTE(SUBSTITUTE(Templates[Repository_Entity_Args_Null],"__Convert__",ValueObject[[#This Row],[Convert]]),"__TableColumn__",ValueObject[[#This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Row],[型]]),"__EntityProperty__",ValueObject[[#This Row],[Entity_プロパティ]])</f>
        <v xml:space="preserve">        public int? ImagePageNo =&gt; Entity.ImagePageNo.Value;</v>
      </c>
      <c r="X22" s="19" t="str" cm="1">
        <f t="array" ref="X22">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05" customHeight="1">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Row],[Convert]]),"__TableColumn__",ValueObject[[#This Row],[DBテーブル_物理名]])</f>
        <v>Convert.ToSingle(reader["slide_waiting_time"])</v>
      </c>
      <c r="S23" s="19" t="str" cm="1">
        <f t="array" ref="S23">SUBSTITUTE(SUBSTITUTE(Templates[Repository_Entity_Args_Null],"__Convert__",ValueObject[[#This Row],[Convert]]),"__TableColumn__",ValueObject[[#This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Row],[型]]),"__EntityProperty__",ValueObject[[#This Row],[Entity_プロパティ]])</f>
        <v xml:space="preserve">        public float SlideWaitingTime =&gt; Entity.SlideWaitingTime.Value;</v>
      </c>
      <c r="X23" s="19" t="str" cm="1">
        <f t="array" ref="X23">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05" customHeight="1">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Row],[Convert]]),"__TableColumn__",ValueObject[[#This Row],[DBテーブル_物理名]])</f>
        <v>Convert.ToString(reader["note1"])</v>
      </c>
      <c r="S24" s="19" t="str" cm="1">
        <f t="array" ref="S24">SUBSTITUTE(SUBSTITUTE(Templates[Repository_Entity_Args_Null],"__Convert__",ValueObject[[#This Row],[Convert]]),"__TableColumn__",ValueObject[[#This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Row],[型]]),"__EntityProperty__",ValueObject[[#This Row],[Entity_プロパティ]])</f>
        <v xml:space="preserve">        public string? Note1 =&gt; Entity.Note1.Value;</v>
      </c>
      <c r="X24" s="19" t="str" cm="1">
        <f t="array" ref="X24">SUBSTITUTE(SUBSTITUTE(Templates[ViewModelEntity_Property_getset],"__Type__",ValueObject[[#This Row],[型]]),"__EntityProperty__",ValueObject[[#This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05" customHeight="1">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Row],[Convert]]),"__TableColumn__",ValueObject[[#This Row],[DBテーブル_物理名]])</f>
        <v>Convert.ToString(reader["note2"])</v>
      </c>
      <c r="S25" s="19" t="str" cm="1">
        <f t="array" ref="S25">SUBSTITUTE(SUBSTITUTE(Templates[Repository_Entity_Args_Null],"__Convert__",ValueObject[[#This Row],[Convert]]),"__TableColumn__",ValueObject[[#This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Row],[型]]),"__EntityProperty__",ValueObject[[#This Row],[Entity_プロパティ]])</f>
        <v xml:space="preserve">        public string? Note2 =&gt; Entity.Note2.Value;</v>
      </c>
      <c r="X25" s="19" t="str" cm="1">
        <f t="array" ref="X25">SUBSTITUTE(SUBSTITUTE(Templates[ViewModelEntity_Property_getset],"__Type__",ValueObject[[#This Row],[型]]),"__EntityProperty__",ValueObject[[#This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05" customHeight="1">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Row],[Convert]]),"__TableColumn__",ValueObject[[#This Row],[DBテーブル_物理名]])</f>
        <v>Convert.ToString(reader["note3"])</v>
      </c>
      <c r="S26" s="19" t="str" cm="1">
        <f t="array" ref="S26">SUBSTITUTE(SUBSTITUTE(Templates[Repository_Entity_Args_Null],"__Convert__",ValueObject[[#This Row],[Convert]]),"__TableColumn__",ValueObject[[#This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Row],[型]]),"__EntityProperty__",ValueObject[[#This Row],[Entity_プロパティ]])</f>
        <v xml:space="preserve">        public string? Note3 =&gt; Entity.Note3.Value;</v>
      </c>
      <c r="X26" s="19" t="str" cm="1">
        <f t="array" ref="X26">SUBSTITUTE(SUBSTITUTE(Templates[ViewModelEntity_Property_getset],"__Type__",ValueObject[[#This Row],[型]]),"__EntityProperty__",ValueObject[[#This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05" customHeight="1">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05" customHeight="1">
      <c r="B28" s="20">
        <f>ROW(ValueObject[[#This Row],[VONo]])-3</f>
        <v>25</v>
      </c>
      <c r="C28" s="21" t="str">
        <f>_xlfn.XLOOKUP(ValueObject[[#This Row],[VONo]],InputValueObjects[VONo],InputValueObjects[Entity],"",0,1)</f>
        <v>TaskMstEntity</v>
      </c>
      <c r="D28" s="21" t="str">
        <f>_xlfn.XLOOKUP(ValueObject[[#This Row],[VONo]],InputValueObjects[VONo],InputValueObjects[ValueObject],"",0,1)</f>
        <v>TaskId</v>
      </c>
      <c r="E28" s="21" t="str">
        <f>_xlfn.XLOOKUP(ValueObject[[#This Row],[VONo]],InputValueObjects[VONo],InputValueObjects[DBカラム_物理名],"",0,1)</f>
        <v>task_id</v>
      </c>
      <c r="F28" s="19" t="str">
        <f>"@"&amp;ValueObject[[#This Row],[DBテーブル_物理名]]</f>
        <v>@task_id</v>
      </c>
      <c r="G28" s="21">
        <f>_xlfn.XLOOKUP(ValueObject[[#This Row],[VONo]],InputValueObjects[VONo],InputValueObjects[PK],"",0,1)</f>
        <v>1</v>
      </c>
      <c r="H28" s="21">
        <f>_xlfn.XLOOKUP(ValueObject[[#This Row],[VONo]],InputValueObjects[VONo],InputValueObjects[NotNull],"",0,1)</f>
        <v>1</v>
      </c>
      <c r="I28" s="21" t="str">
        <f>_xlfn.XLOOKUP(ValueObject[[#This Row],[VONo]],InputValueObjects[VONo],InputValueObjects[型],"",0,1)</f>
        <v>int</v>
      </c>
      <c r="J28" s="21" t="str">
        <f>_xlfn.XLOOKUP(ValueObject[[#This Row],[VONo]],InputValueObjects[VONo],InputValueObjects[Entity_プロパティ],"",0,1)</f>
        <v>TaskId</v>
      </c>
      <c r="K28" s="21" t="str">
        <f>REPLACE(ValueObject[[#This Row],[Entity_プロパティ]],1,1,LOWER(LEFT(ValueObject[[#This Row],[ValueObject]])))</f>
        <v>taskId</v>
      </c>
      <c r="L28" s="21" t="str">
        <f>ValueObject[[#This Row],[型]]&amp;" "&amp;ValueObject[[#This Row],[変数_VO]]</f>
        <v>int taskId</v>
      </c>
      <c r="M28" s="21" t="str">
        <f>ValueObject[[#This Row],[Entity_プロパティ]]&amp;" = new "&amp;ValueObject[[#This Row],[ValueObject]]&amp;"("&amp;ValueObject[[#This Row],[変数_VO]]&amp;");"</f>
        <v>TaskId = new TaskId(taskId);</v>
      </c>
      <c r="N28" s="21" t="str">
        <f>"public "&amp;ValueObject[[#This Row],[ValueObject]]&amp;" "&amp;ValueObject[[#This Row],[Entity_プロパティ]]&amp;" { get; }"</f>
        <v>public TaskId TaskId { get; }</v>
      </c>
      <c r="O28" s="21" t="str">
        <f>_xlfn.XLOOKUP(SUBSTITUTE(ValueObject[[#This Row],[型]],"?",""),Types[型],Types[Convert],"",,1)</f>
        <v>Convert.ToInt32</v>
      </c>
      <c r="P28" s="21" t="str">
        <f>_xlfn.XLOOKUP(SUBSTITUTE(ValueObject[[#This Row],[型]],"?",""),Types[型],Types[型_SQLite],"",0,1)</f>
        <v>INTEGER</v>
      </c>
      <c r="Q28" s="21" t="str">
        <f>IF(ValueObject[[#This Row],[SQLite_型]]="","",ValueObject[[#This Row],[DBテーブル_物理名]]&amp;" "&amp;ValueObject[[#This Row],[SQLite_型]])</f>
        <v>task_id INTEGER</v>
      </c>
      <c r="R28" s="19" t="str" cm="1">
        <f t="array" ref="R28">SUBSTITUTE(SUBSTITUTE(Templates[Repository_Entity_Args_NotNull],"__Convert__",ValueObject[[#This Row],[Convert]]),"__TableColumn__",ValueObject[[#This Row],[DBテーブル_物理名]])</f>
        <v>Convert.ToInt32(reader["task_id"])</v>
      </c>
      <c r="S28" s="19" t="str" cm="1">
        <f t="array" ref="S28">SUBSTITUTE(SUBSTITUTE(Templates[Repository_Entity_Args_Null],"__Convert__",ValueObject[[#This Row],[Convert]]),"__TableColumn__",ValueObject[[#This Row],[DBテーブル_物理名]])</f>
        <v>reader["task_id"] != DBNull.Value ? Convert.ToInt32(reader["task_id"]) : null</v>
      </c>
      <c r="T28" s="19" t="str">
        <f>IF(ValueObject[[#This Row],[NotNull]]=1,ValueObject[[#This Row],[Repository_Entity_Args_NotNull]],ValueObject[[#This Row],[Repository_Entity_Args_Null]])</f>
        <v>Convert.ToInt32(reader["task_id"])</v>
      </c>
      <c r="U28" s="19" t="str">
        <f>ValueObject[[#This Row],[DBテーブル_物理名]]&amp;" = @"&amp;ValueObject[[#This Row],[DBテーブル_物理名]]</f>
        <v>task_id = @task_id</v>
      </c>
      <c r="V28" s="19" t="str" cm="1">
        <f t="array" ref="V28">SUBSTITUTE(SUBSTITUTE(Templates[SQLiteParameter_Args],"__Column__",ValueObject[[#This Row],[DBテーブル_物理名]]),"__VO__",ValueObject[[#This Row],[Entity_プロパティ]])</f>
        <v>new SQLiteParameter("@task_id", entity.TaskId.Value)</v>
      </c>
      <c r="W28" s="19" t="str" cm="1">
        <f t="array" ref="W28">SUBSTITUTE(SUBSTITUTE(Templates[ViewModelEntity_Property_get],"__Type__",ValueObject[[#This Row],[型]]),"__EntityProperty__",ValueObject[[#This Row],[Entity_プロパティ]])</f>
        <v xml:space="preserve">        public int TaskId =&gt; Entity.TaskId.Value;</v>
      </c>
      <c r="X28" s="19" t="str" cm="1">
        <f t="array" ref="X28">SUBSTITUTE(SUBSTITUTE(Templates[ViewModelEntity_Property_getset],"__Type__",ValueObject[[#This Row],[型]]),"__EntityProperty__",ValueObject[[#This Row],[Entity_プロパティ]])</f>
        <v xml:space="preserve">       public int TaskId 
        {
            get { return Entity.TaskId.Value; }
            set { Entity.TaskId = new TaskId(value); }
        }</v>
      </c>
      <c r="Y28" s="19" t="str" cm="1">
        <f t="array" ref="Y28">IF(ValueObject[[#This Row],[ValueObject]]="","",SUBSTITUTE(SUBSTITUTE(SUBSTITUTE(Templates[ValueObject],"__SN__",'1_インプット'!$D$3),"__VO__",ValueObject[[#This Row],[ValueObject]]),"__VOType__",ValueObject[[#This Row],[型]]))</f>
        <v>namespace Template2.Domain.ValueObjects
{
    public sealed class TaskId : ValueObject&lt;TaskId&gt;
    {
        /// &lt;summary&gt;
        /// コンストラクタ
        /// &lt;/summary&gt;
        /// &lt;param name=""value""&gt;&lt;/param&gt;
        public TaskId(int value)
        {
            Value = value;
        }
        public int Value { get; }
        protected override bool EqualsCore(TaskId other)
        {
            return Value == other.Value;
        }
        protected override int GetHashCodeCore()
        {
            if (Value == null)
            {
                return 0;
            }
            return Value.GetHashCode();
        }
        public override string ToString()
        {
            if (Value == null)
            {
                return String.Empty;
            }
            return Value.ToString();
        }
    }
}</v>
      </c>
    </row>
    <row r="29" spans="2:25" ht="20.05" customHeight="1">
      <c r="B29" s="20">
        <f>ROW(ValueObject[[#This Row],[VONo]])-3</f>
        <v>26</v>
      </c>
      <c r="C29" s="21" t="str">
        <f>_xlfn.XLOOKUP(ValueObject[[#This Row],[VONo]],InputValueObjects[VONo],InputValueObjects[Entity],"",0,1)</f>
        <v>TaskMstEntity</v>
      </c>
      <c r="D29" s="21" t="str">
        <f>_xlfn.XLOOKUP(ValueObject[[#This Row],[VONo]],InputValueObjects[VONo],InputValueObjects[ValueObject],"",0,1)</f>
        <v>TaskItem</v>
      </c>
      <c r="E29" s="21" t="str">
        <f>_xlfn.XLOOKUP(ValueObject[[#This Row],[VONo]],InputValueObjects[VONo],InputValueObjects[DBカラム_物理名],"",0,1)</f>
        <v>task_item</v>
      </c>
      <c r="F29" s="19" t="str">
        <f>"@"&amp;ValueObject[[#This Row],[DBテーブル_物理名]]</f>
        <v>@task_item</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string?</v>
      </c>
      <c r="J29" s="21" t="str">
        <f>_xlfn.XLOOKUP(ValueObject[[#This Row],[VONo]],InputValueObjects[VONo],InputValueObjects[Entity_プロパティ],"",0,1)</f>
        <v>TaskItem</v>
      </c>
      <c r="K29" s="21" t="str">
        <f>REPLACE(ValueObject[[#This Row],[Entity_プロパティ]],1,1,LOWER(LEFT(ValueObject[[#This Row],[ValueObject]])))</f>
        <v>taskItem</v>
      </c>
      <c r="L29" s="21" t="str">
        <f>ValueObject[[#This Row],[型]]&amp;" "&amp;ValueObject[[#This Row],[変数_VO]]</f>
        <v>string? taskItem</v>
      </c>
      <c r="M29" s="21" t="str">
        <f>ValueObject[[#This Row],[Entity_プロパティ]]&amp;" = new "&amp;ValueObject[[#This Row],[ValueObject]]&amp;"("&amp;ValueObject[[#This Row],[変数_VO]]&amp;");"</f>
        <v>TaskItem = new TaskItem(taskItem);</v>
      </c>
      <c r="N29" s="21" t="str">
        <f>"public "&amp;ValueObject[[#This Row],[ValueObject]]&amp;" "&amp;ValueObject[[#This Row],[Entity_プロパティ]]&amp;" { get; }"</f>
        <v>public TaskItem TaskItem { get; }</v>
      </c>
      <c r="O29" s="21" t="str">
        <f>_xlfn.XLOOKUP(SUBSTITUTE(ValueObject[[#This Row],[型]],"?",""),Types[型],Types[Convert],"",,1)</f>
        <v>Convert.ToString</v>
      </c>
      <c r="P29" s="21" t="str">
        <f>_xlfn.XLOOKUP(SUBSTITUTE(ValueObject[[#This Row],[型]],"?",""),Types[型],Types[型_SQLite],"",0,1)</f>
        <v>TEXT</v>
      </c>
      <c r="Q29" s="21" t="str">
        <f>IF(ValueObject[[#This Row],[SQLite_型]]="","",ValueObject[[#This Row],[DBテーブル_物理名]]&amp;" "&amp;ValueObject[[#This Row],[SQLite_型]])</f>
        <v>task_item TEXT</v>
      </c>
      <c r="R29" s="19" t="str" cm="1">
        <f t="array" ref="R29">SUBSTITUTE(SUBSTITUTE(Templates[Repository_Entity_Args_NotNull],"__Convert__",ValueObject[[#This Row],[Convert]]),"__TableColumn__",ValueObject[[#This Row],[DBテーブル_物理名]])</f>
        <v>Convert.ToString(reader["task_item"])</v>
      </c>
      <c r="S29" s="19" t="str" cm="1">
        <f t="array" ref="S29">SUBSTITUTE(SUBSTITUTE(Templates[Repository_Entity_Args_Null],"__Convert__",ValueObject[[#This Row],[Convert]]),"__TableColumn__",ValueObject[[#This Row],[DBテーブル_物理名]])</f>
        <v>reader["task_item"] != DBNull.Value ? Convert.ToString(reader["task_item"]) : null</v>
      </c>
      <c r="T29" s="19" t="str">
        <f>IF(ValueObject[[#This Row],[NotNull]]=1,ValueObject[[#This Row],[Repository_Entity_Args_NotNull]],ValueObject[[#This Row],[Repository_Entity_Args_Null]])</f>
        <v>reader["task_item"] != DBNull.Value ? Convert.ToString(reader["task_item"]) : null</v>
      </c>
      <c r="U29" s="19" t="str">
        <f>ValueObject[[#This Row],[DBテーブル_物理名]]&amp;" = @"&amp;ValueObject[[#This Row],[DBテーブル_物理名]]</f>
        <v>task_item = @task_item</v>
      </c>
      <c r="V29" s="19" t="str" cm="1">
        <f t="array" ref="V29">SUBSTITUTE(SUBSTITUTE(Templates[SQLiteParameter_Args],"__Column__",ValueObject[[#This Row],[DBテーブル_物理名]]),"__VO__",ValueObject[[#This Row],[Entity_プロパティ]])</f>
        <v>new SQLiteParameter("@task_item", entity.TaskItem.Value)</v>
      </c>
      <c r="W29" s="19" t="str" cm="1">
        <f t="array" ref="W29">SUBSTITUTE(SUBSTITUTE(Templates[ViewModelEntity_Property_get],"__Type__",ValueObject[[#This Row],[型]]),"__EntityProperty__",ValueObject[[#This Row],[Entity_プロパティ]])</f>
        <v xml:space="preserve">        public string? TaskItem =&gt; Entity.TaskItem.Value;</v>
      </c>
      <c r="X29" s="19" t="str" cm="1">
        <f t="array" ref="X29">SUBSTITUTE(SUBSTITUTE(Templates[ViewModelEntity_Property_getset],"__Type__",ValueObject[[#This Row],[型]]),"__EntityProperty__",ValueObject[[#This Row],[Entity_プロパティ]])</f>
        <v xml:space="preserve">       public string? TaskItem 
        {
            get { return Entity.TaskItem.Value; }
            set { Entity.TaskItem = new TaskItem(value); }
        }</v>
      </c>
      <c r="Y29" s="19" t="str" cm="1">
        <f t="array" ref="Y29">IF(ValueObject[[#This Row],[ValueObject]]="","",SUBSTITUTE(SUBSTITUTE(SUBSTITUTE(Templates[ValueObject],"__SN__",'1_インプット'!$D$3),"__VO__",ValueObject[[#This Row],[ValueObject]]),"__VOType__",ValueObject[[#This Row],[型]]))</f>
        <v>namespace Template2.Domain.ValueObjects
{
    public sealed class TaskItem : ValueObject&lt;TaskItem&gt;
    {
        /// &lt;summary&gt;
        /// コンストラクタ
        /// &lt;/summary&gt;
        /// &lt;param name=""value""&gt;&lt;/param&gt;
        public TaskItem(string? value)
        {
            Value = value;
        }
        public string? Value { get; }
        protected override bool EqualsCore(TaskItem other)
        {
            return Value == other.Value;
        }
        protected override int GetHashCodeCore()
        {
            if (Value == null)
            {
                return 0;
            }
            return Value.GetHashCode();
        }
        public override string ToString()
        {
            if (Value == null)
            {
                return String.Empty;
            }
            return Value.ToString();
        }
    }
}</v>
      </c>
    </row>
    <row r="30" spans="2:25" ht="20.05" customHeight="1">
      <c r="B30" s="20">
        <f>ROW(ValueObject[[#This Row],[VONo]])-3</f>
        <v>27</v>
      </c>
      <c r="C30" s="21" t="str">
        <f>_xlfn.XLOOKUP(ValueObject[[#This Row],[VONo]],InputValueObjects[VONo],InputValueObjects[Entity],"",0,1)</f>
        <v>TaskMstEntity</v>
      </c>
      <c r="D30" s="21" t="str">
        <f>_xlfn.XLOOKUP(ValueObject[[#This Row],[VONo]],InputValueObjects[VONo],InputValueObjects[ValueObject],"",0,1)</f>
        <v>TaskDeadLine</v>
      </c>
      <c r="E30" s="21" t="str">
        <f>_xlfn.XLOOKUP(ValueObject[[#This Row],[VONo]],InputValueObjects[VONo],InputValueObjects[DBカラム_物理名],"",0,1)</f>
        <v>task_dead_line</v>
      </c>
      <c r="F30" s="19" t="str">
        <f>"@"&amp;ValueObject[[#This Row],[DBテーブル_物理名]]</f>
        <v>@task_dead_line</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DateTime?</v>
      </c>
      <c r="J30" s="21" t="str">
        <f>_xlfn.XLOOKUP(ValueObject[[#This Row],[VONo]],InputValueObjects[VONo],InputValueObjects[Entity_プロパティ],"",0,1)</f>
        <v>TaskDeadLine</v>
      </c>
      <c r="K30" s="21" t="str">
        <f>REPLACE(ValueObject[[#This Row],[Entity_プロパティ]],1,1,LOWER(LEFT(ValueObject[[#This Row],[ValueObject]])))</f>
        <v>taskDeadLine</v>
      </c>
      <c r="L30" s="21" t="str">
        <f>ValueObject[[#This Row],[型]]&amp;" "&amp;ValueObject[[#This Row],[変数_VO]]</f>
        <v>DateTime? taskDeadLine</v>
      </c>
      <c r="M30" s="21" t="str">
        <f>ValueObject[[#This Row],[Entity_プロパティ]]&amp;" = new "&amp;ValueObject[[#This Row],[ValueObject]]&amp;"("&amp;ValueObject[[#This Row],[変数_VO]]&amp;");"</f>
        <v>TaskDeadLine = new TaskDeadLine(taskDeadLine);</v>
      </c>
      <c r="N30" s="21" t="str">
        <f>"public "&amp;ValueObject[[#This Row],[ValueObject]]&amp;" "&amp;ValueObject[[#This Row],[Entity_プロパティ]]&amp;" { get; }"</f>
        <v>public TaskDeadLine TaskDeadLine { get; }</v>
      </c>
      <c r="O30" s="21" t="str">
        <f>_xlfn.XLOOKUP(SUBSTITUTE(ValueObject[[#This Row],[型]],"?",""),Types[型],Types[Convert],"",,1)</f>
        <v>Convert.ToDateTime</v>
      </c>
      <c r="P30" s="21" t="str">
        <f>_xlfn.XLOOKUP(SUBSTITUTE(ValueObject[[#This Row],[型]],"?",""),Types[型],Types[型_SQLite],"",0,1)</f>
        <v>DATETIME</v>
      </c>
      <c r="Q30" s="21" t="str">
        <f>IF(ValueObject[[#This Row],[SQLite_型]]="","",ValueObject[[#This Row],[DBテーブル_物理名]]&amp;" "&amp;ValueObject[[#This Row],[SQLite_型]])</f>
        <v>task_dead_line DATETIME</v>
      </c>
      <c r="R30" s="19" t="str" cm="1">
        <f t="array" ref="R30">SUBSTITUTE(SUBSTITUTE(Templates[Repository_Entity_Args_NotNull],"__Convert__",ValueObject[[#This Row],[Convert]]),"__TableColumn__",ValueObject[[#This Row],[DBテーブル_物理名]])</f>
        <v>Convert.ToDateTime(reader["task_dead_line"])</v>
      </c>
      <c r="S30" s="19" t="str" cm="1">
        <f t="array" ref="S30">SUBSTITUTE(SUBSTITUTE(Templates[Repository_Entity_Args_Null],"__Convert__",ValueObject[[#This Row],[Convert]]),"__TableColumn__",ValueObject[[#This Row],[DBテーブル_物理名]])</f>
        <v>reader["task_dead_line"] != DBNull.Value ? Convert.ToDateTime(reader["task_dead_line"]) : null</v>
      </c>
      <c r="T30" s="19" t="str">
        <f>IF(ValueObject[[#This Row],[NotNull]]=1,ValueObject[[#This Row],[Repository_Entity_Args_NotNull]],ValueObject[[#This Row],[Repository_Entity_Args_Null]])</f>
        <v>reader["task_dead_line"] != DBNull.Value ? Convert.ToDateTime(reader["task_dead_line"]) : null</v>
      </c>
      <c r="U30" s="19" t="str">
        <f>ValueObject[[#This Row],[DBテーブル_物理名]]&amp;" = @"&amp;ValueObject[[#This Row],[DBテーブル_物理名]]</f>
        <v>task_dead_line = @task_dead_line</v>
      </c>
      <c r="V30" s="19" t="str" cm="1">
        <f t="array" ref="V30">SUBSTITUTE(SUBSTITUTE(Templates[SQLiteParameter_Args],"__Column__",ValueObject[[#This Row],[DBテーブル_物理名]]),"__VO__",ValueObject[[#This Row],[Entity_プロパティ]])</f>
        <v>new SQLiteParameter("@task_dead_line", entity.TaskDeadLine.Value)</v>
      </c>
      <c r="W30" s="19" t="str" cm="1">
        <f t="array" ref="W30">SUBSTITUTE(SUBSTITUTE(Templates[ViewModelEntity_Property_get],"__Type__",ValueObject[[#This Row],[型]]),"__EntityProperty__",ValueObject[[#This Row],[Entity_プロパティ]])</f>
        <v xml:space="preserve">        public DateTime? TaskDeadLine =&gt; Entity.TaskDeadLine.Value;</v>
      </c>
      <c r="X30" s="19" t="str" cm="1">
        <f t="array" ref="X30">SUBSTITUTE(SUBSTITUTE(Templates[ViewModelEntity_Property_getset],"__Type__",ValueObject[[#This Row],[型]]),"__EntityProperty__",ValueObject[[#This Row],[Entity_プロパティ]])</f>
        <v xml:space="preserve">       public DateTime? TaskDeadLine 
        {
            get { return Entity.TaskDeadLine.Value; }
            set { Entity.TaskDeadLine = new TaskDeadLine(value); }
        }</v>
      </c>
      <c r="Y30" s="19" t="str" cm="1">
        <f t="array" ref="Y30">IF(ValueObject[[#This Row],[ValueObject]]="","",SUBSTITUTE(SUBSTITUTE(SUBSTITUTE(Templates[ValueObject],"__SN__",'1_インプット'!$D$3),"__VO__",ValueObject[[#This Row],[ValueObject]]),"__VOType__",ValueObject[[#This Row],[型]]))</f>
        <v>namespace Template2.Domain.ValueObjects
{
    public sealed class TaskDeadLine : ValueObject&lt;TaskDeadLine&gt;
    {
        /// &lt;summary&gt;
        /// コンストラクタ
        /// &lt;/summary&gt;
        /// &lt;param name=""value""&gt;&lt;/param&gt;
        public TaskDeadLine(DateTime? value)
        {
            Value = value;
        }
        public DateTime? Value { get; }
        protected override bool EqualsCore(TaskDeadLine other)
        {
            return Value == other.Value;
        }
        protected override int GetHashCodeCore()
        {
            if (Value == null)
            {
                return 0;
            }
            return Value.GetHashCode();
        }
        public override string ToString()
        {
            if (Value == null)
            {
                return String.Empty;
            }
            return Value.ToString();
        }
    }
}</v>
      </c>
    </row>
    <row r="31" spans="2:25" ht="20.05" customHeight="1">
      <c r="B31" s="20">
        <f>ROW(ValueObject[[#This Row],[VONo]])-3</f>
        <v>28</v>
      </c>
      <c r="C31" s="21" t="str">
        <f>_xlfn.XLOOKUP(ValueObject[[#This Row],[VONo]],InputValueObjects[VONo],InputValueObjects[Entity],"",0,1)</f>
        <v>TaskMstEntity</v>
      </c>
      <c r="D31" s="21" t="str">
        <f>_xlfn.XLOOKUP(ValueObject[[#This Row],[VONo]],InputValueObjects[VONo],InputValueObjects[ValueObject],"",0,1)</f>
        <v>ProcessCode</v>
      </c>
      <c r="E31" s="21" t="str">
        <f>_xlfn.XLOOKUP(ValueObject[[#This Row],[VONo]],InputValueObjects[VONo],InputValueObjects[DBカラム_物理名],"",0,1)</f>
        <v>process_code</v>
      </c>
      <c r="F31" s="19" t="str">
        <f>"@"&amp;ValueObject[[#This Row],[DBテーブル_物理名]]</f>
        <v>@process_code</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string?</v>
      </c>
      <c r="J31" s="21" t="str">
        <f>_xlfn.XLOOKUP(ValueObject[[#This Row],[VONo]],InputValueObjects[VONo],InputValueObjects[Entity_プロパティ],"",0,1)</f>
        <v>ProcessCode</v>
      </c>
      <c r="K31" s="21" t="str">
        <f>REPLACE(ValueObject[[#This Row],[Entity_プロパティ]],1,1,LOWER(LEFT(ValueObject[[#This Row],[ValueObject]])))</f>
        <v>processCode</v>
      </c>
      <c r="L31" s="21" t="str">
        <f>ValueObject[[#This Row],[型]]&amp;" "&amp;ValueObject[[#This Row],[変数_VO]]</f>
        <v>string? processCode</v>
      </c>
      <c r="M31" s="21" t="str">
        <f>ValueObject[[#This Row],[Entity_プロパティ]]&amp;" = new "&amp;ValueObject[[#This Row],[ValueObject]]&amp;"("&amp;ValueObject[[#This Row],[変数_VO]]&amp;");"</f>
        <v>ProcessCode = new ProcessCode(processCode);</v>
      </c>
      <c r="N31" s="21" t="str">
        <f>"public "&amp;ValueObject[[#This Row],[ValueObject]]&amp;" "&amp;ValueObject[[#This Row],[Entity_プロパティ]]&amp;" { get; }"</f>
        <v>public ProcessCode ProcessCode { get; }</v>
      </c>
      <c r="O31" s="21" t="str">
        <f>_xlfn.XLOOKUP(SUBSTITUTE(ValueObject[[#This Row],[型]],"?",""),Types[型],Types[Convert],"",,1)</f>
        <v>Convert.ToString</v>
      </c>
      <c r="P31" s="21" t="str">
        <f>_xlfn.XLOOKUP(SUBSTITUTE(ValueObject[[#This Row],[型]],"?",""),Types[型],Types[型_SQLite],"",0,1)</f>
        <v>TEXT</v>
      </c>
      <c r="Q31" s="21" t="str">
        <f>IF(ValueObject[[#This Row],[SQLite_型]]="","",ValueObject[[#This Row],[DBテーブル_物理名]]&amp;" "&amp;ValueObject[[#This Row],[SQLite_型]])</f>
        <v>process_code TEXT</v>
      </c>
      <c r="R31" s="19" t="str" cm="1">
        <f t="array" ref="R31">SUBSTITUTE(SUBSTITUTE(Templates[Repository_Entity_Args_NotNull],"__Convert__",ValueObject[[#This Row],[Convert]]),"__TableColumn__",ValueObject[[#This Row],[DBテーブル_物理名]])</f>
        <v>Convert.ToString(reader["process_code"])</v>
      </c>
      <c r="S31" s="19" t="str" cm="1">
        <f t="array" ref="S31">SUBSTITUTE(SUBSTITUTE(Templates[Repository_Entity_Args_Null],"__Convert__",ValueObject[[#This Row],[Convert]]),"__TableColumn__",ValueObject[[#This Row],[DBテーブル_物理名]])</f>
        <v>reader["process_code"] != DBNull.Value ? Convert.ToString(reader["process_code"]) : null</v>
      </c>
      <c r="T31" s="19" t="str">
        <f>IF(ValueObject[[#This Row],[NotNull]]=1,ValueObject[[#This Row],[Repository_Entity_Args_NotNull]],ValueObject[[#This Row],[Repository_Entity_Args_Null]])</f>
        <v>reader["process_code"] != DBNull.Value ? Convert.ToString(reader["process_code"]) : null</v>
      </c>
      <c r="U31" s="19" t="str">
        <f>ValueObject[[#This Row],[DBテーブル_物理名]]&amp;" = @"&amp;ValueObject[[#This Row],[DBテーブル_物理名]]</f>
        <v>process_code = @process_code</v>
      </c>
      <c r="V31" s="19" t="str" cm="1">
        <f t="array" ref="V31">SUBSTITUTE(SUBSTITUTE(Templates[SQLiteParameter_Args],"__Column__",ValueObject[[#This Row],[DBテーブル_物理名]]),"__VO__",ValueObject[[#This Row],[Entity_プロパティ]])</f>
        <v>new SQLiteParameter("@process_code", entity.ProcessCode.Value)</v>
      </c>
      <c r="W31" s="19" t="str" cm="1">
        <f t="array" ref="W31">SUBSTITUTE(SUBSTITUTE(Templates[ViewModelEntity_Property_get],"__Type__",ValueObject[[#This Row],[型]]),"__EntityProperty__",ValueObject[[#This Row],[Entity_プロパティ]])</f>
        <v xml:space="preserve">        public string? ProcessCode =&gt; Entity.ProcessCode.Value;</v>
      </c>
      <c r="X31" s="19" t="str" cm="1">
        <f t="array" ref="X31">SUBSTITUTE(SUBSTITUTE(Templates[ViewModelEntity_Property_getset],"__Type__",ValueObject[[#This Row],[型]]),"__EntityProperty__",ValueObject[[#This Row],[Entity_プロパティ]])</f>
        <v xml:space="preserve">       public string? ProcessCode 
        {
            get { return Entity.ProcessCode.Value; }
            set { Entity.ProcessCode = new ProcessCode(value); }
        }</v>
      </c>
      <c r="Y31" s="19" t="str" cm="1">
        <f t="array" ref="Y31">IF(ValueObject[[#This Row],[ValueObject]]="","",SUBSTITUTE(SUBSTITUTE(SUBSTITUTE(Templates[ValueObject],"__SN__",'1_インプット'!$D$3),"__VO__",ValueObject[[#This Row],[ValueObject]]),"__VOType__",ValueObject[[#This Row],[型]]))</f>
        <v>namespace Template2.Domain.ValueObjects
{
    public sealed class ProcessCode : ValueObject&lt;ProcessCode&gt;
    {
        /// &lt;summary&gt;
        /// コンストラクタ
        /// &lt;/summary&gt;
        /// &lt;param name=""value""&gt;&lt;/param&gt;
        public ProcessCode(string? value)
        {
            Value = value;
        }
        public string? Value { get; }
        protected override bool EqualsCore(ProcessCode other)
        {
            return Value == other.Value;
        }
        protected override int GetHashCodeCore()
        {
            if (Value == null)
            {
                return 0;
            }
            return Value.GetHashCode();
        }
        public override string ToString()
        {
            if (Value == null)
            {
                return String.Empty;
            }
            return Value.ToString();
        }
    }
}</v>
      </c>
    </row>
    <row r="32" spans="2:25" ht="20.05" customHeight="1">
      <c r="B32" s="20">
        <f>ROW(ValueObject[[#This Row],[VONo]])-3</f>
        <v>29</v>
      </c>
      <c r="C32" s="21" t="str">
        <f>_xlfn.XLOOKUP(ValueObject[[#This Row],[VONo]],InputValueObjects[VONo],InputValueObjects[Entity],"",0,1)</f>
        <v>TaskMstEntity</v>
      </c>
      <c r="D32" s="21" t="str">
        <f>_xlfn.XLOOKUP(ValueObject[[#This Row],[VONo]],InputValueObjects[VONo],InputValueObjects[ValueObject],"",0,1)</f>
        <v>WorkerCode</v>
      </c>
      <c r="E32" s="21" t="str">
        <f>_xlfn.XLOOKUP(ValueObject[[#This Row],[VONo]],InputValueObjects[VONo],InputValueObjects[DBカラム_物理名],"",0,1)</f>
        <v>worker_code</v>
      </c>
      <c r="F32" s="19" t="str">
        <f>"@"&amp;ValueObject[[#This Row],[DBテーブル_物理名]]</f>
        <v>@worker_code</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string?</v>
      </c>
      <c r="J32" s="21" t="str">
        <f>_xlfn.XLOOKUP(ValueObject[[#This Row],[VONo]],InputValueObjects[VONo],InputValueObjects[Entity_プロパティ],"",0,1)</f>
        <v>WorkerCode</v>
      </c>
      <c r="K32" s="21" t="str">
        <f>REPLACE(ValueObject[[#This Row],[Entity_プロパティ]],1,1,LOWER(LEFT(ValueObject[[#This Row],[ValueObject]])))</f>
        <v>workerCode</v>
      </c>
      <c r="L32" s="21" t="str">
        <f>ValueObject[[#This Row],[型]]&amp;" "&amp;ValueObject[[#This Row],[変数_VO]]</f>
        <v>string? workerCode</v>
      </c>
      <c r="M32" s="21" t="str">
        <f>ValueObject[[#This Row],[Entity_プロパティ]]&amp;" = new "&amp;ValueObject[[#This Row],[ValueObject]]&amp;"("&amp;ValueObject[[#This Row],[変数_VO]]&amp;");"</f>
        <v>WorkerCode = new WorkerCode(workerCode);</v>
      </c>
      <c r="N32" s="21" t="str">
        <f>"public "&amp;ValueObject[[#This Row],[ValueObject]]&amp;" "&amp;ValueObject[[#This Row],[Entity_プロパティ]]&amp;" { get; }"</f>
        <v>public WorkerCode WorkerCode { get; }</v>
      </c>
      <c r="O32" s="21" t="str">
        <f>_xlfn.XLOOKUP(SUBSTITUTE(ValueObject[[#This Row],[型]],"?",""),Types[型],Types[Convert],"",,1)</f>
        <v>Convert.ToString</v>
      </c>
      <c r="P32" s="21" t="str">
        <f>_xlfn.XLOOKUP(SUBSTITUTE(ValueObject[[#This Row],[型]],"?",""),Types[型],Types[型_SQLite],"",0,1)</f>
        <v>TEXT</v>
      </c>
      <c r="Q32" s="21" t="str">
        <f>IF(ValueObject[[#This Row],[SQLite_型]]="","",ValueObject[[#This Row],[DBテーブル_物理名]]&amp;" "&amp;ValueObject[[#This Row],[SQLite_型]])</f>
        <v>worker_code TEXT</v>
      </c>
      <c r="R32" s="19" t="str" cm="1">
        <f t="array" ref="R32">SUBSTITUTE(SUBSTITUTE(Templates[Repository_Entity_Args_NotNull],"__Convert__",ValueObject[[#This Row],[Convert]]),"__TableColumn__",ValueObject[[#This Row],[DBテーブル_物理名]])</f>
        <v>Convert.ToString(reader["worker_code"])</v>
      </c>
      <c r="S32" s="19" t="str" cm="1">
        <f t="array" ref="S32">SUBSTITUTE(SUBSTITUTE(Templates[Repository_Entity_Args_Null],"__Convert__",ValueObject[[#This Row],[Convert]]),"__TableColumn__",ValueObject[[#This Row],[DBテーブル_物理名]])</f>
        <v>reader["worker_code"] != DBNull.Value ? Convert.ToString(reader["worker_code"]) : null</v>
      </c>
      <c r="T32" s="19" t="str">
        <f>IF(ValueObject[[#This Row],[NotNull]]=1,ValueObject[[#This Row],[Repository_Entity_Args_NotNull]],ValueObject[[#This Row],[Repository_Entity_Args_Null]])</f>
        <v>reader["worker_code"] != DBNull.Value ? Convert.ToString(reader["worker_code"]) : null</v>
      </c>
      <c r="U32" s="19" t="str">
        <f>ValueObject[[#This Row],[DBテーブル_物理名]]&amp;" = @"&amp;ValueObject[[#This Row],[DBテーブル_物理名]]</f>
        <v>worker_code = @worker_code</v>
      </c>
      <c r="V32" s="19" t="str" cm="1">
        <f t="array" ref="V32">SUBSTITUTE(SUBSTITUTE(Templates[SQLiteParameter_Args],"__Column__",ValueObject[[#This Row],[DBテーブル_物理名]]),"__VO__",ValueObject[[#This Row],[Entity_プロパティ]])</f>
        <v>new SQLiteParameter("@worker_code", entity.WorkerCode.Value)</v>
      </c>
      <c r="W32" s="19" t="str" cm="1">
        <f t="array" ref="W32">SUBSTITUTE(SUBSTITUTE(Templates[ViewModelEntity_Property_get],"__Type__",ValueObject[[#This Row],[型]]),"__EntityProperty__",ValueObject[[#This Row],[Entity_プロパティ]])</f>
        <v xml:space="preserve">        public string? WorkerCode =&gt; Entity.WorkerCode.Value;</v>
      </c>
      <c r="X32" s="19" t="str" cm="1">
        <f t="array" ref="X32">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32" s="19" t="str" cm="1">
        <f t="array" ref="Y32">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33" spans="2:25" ht="20.05" customHeight="1">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05" customHeight="1">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05" customHeight="1">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05" customHeight="1">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05" customHeight="1">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05" customHeight="1">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05" customHeight="1">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05" customHeight="1">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05" customHeight="1">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05" customHeight="1">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05" customHeight="1">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05" customHeight="1">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05" customHeight="1">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05" customHeight="1">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05" customHeight="1">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05" customHeight="1">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05" customHeight="1">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05" customHeight="1">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05" customHeight="1">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05" customHeight="1">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05" customHeight="1">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05" customHeight="1">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05" customHeight="1">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05" customHeight="1">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05" customHeight="1">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05" customHeight="1">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05" customHeight="1">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05" customHeight="1">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05" customHeight="1">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05" customHeight="1">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05" customHeight="1">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05" customHeight="1">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05" customHeight="1">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05" customHeight="1">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05" customHeight="1">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05" customHeight="1">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05" customHeight="1">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05" customHeight="1">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05" customHeight="1">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05" customHeight="1">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05" customHeight="1">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05" customHeight="1">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05" customHeight="1">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05" customHeight="1">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05" customHeight="1">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05" customHeight="1">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05" customHeight="1">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05" customHeight="1">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05" customHeight="1">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05" customHeight="1">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05" customHeight="1">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05" customHeight="1">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05" customHeight="1">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05" customHeight="1">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05" customHeight="1">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05" customHeight="1">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05" customHeight="1">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05" customHeight="1">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05" customHeight="1">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05" customHeight="1">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05" customHeight="1">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05" customHeight="1">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05" customHeight="1">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05" customHeight="1">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05" customHeight="1">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05" customHeight="1">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05" customHeight="1">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05" customHeight="1">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05" customHeight="1">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05" customHeight="1">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05" customHeight="1">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05" customHeight="1">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05" customHeight="1">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05" customHeight="1">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05" customHeight="1">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05" customHeight="1">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05" customHeight="1">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05" customHeight="1">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05" customHeight="1">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05" customHeight="1">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05" customHeight="1">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05" customHeight="1">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05" customHeight="1">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05" customHeight="1">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05" customHeight="1">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05" customHeight="1">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05" customHeight="1">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05" customHeight="1">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05" customHeight="1">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05" customHeight="1">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05" customHeight="1">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05" customHeight="1">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05" customHeight="1">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05" customHeight="1">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05" customHeight="1">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05" customHeight="1">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05" customHeight="1">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05" customHeight="1">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05" customHeight="1">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05" customHeight="1">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05" customHeight="1">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45"/>
  <cols>
    <col min="1" max="1" width="2.5625" customWidth="1"/>
    <col min="2" max="2" width="5.6875" customWidth="1"/>
    <col min="3" max="3" width="31" bestFit="1" customWidth="1"/>
    <col min="4" max="4" width="31" customWidth="1"/>
    <col min="5" max="5" width="28.8125" customWidth="1"/>
    <col min="6" max="6" width="43.3125" customWidth="1"/>
    <col min="7" max="7" width="45.125" customWidth="1"/>
  </cols>
  <sheetData>
    <row r="1" spans="1:7" ht="19.3">
      <c r="A1" s="1" t="s">
        <v>7</v>
      </c>
    </row>
    <row r="3" spans="1:7">
      <c r="B3" s="15" t="s">
        <v>29</v>
      </c>
      <c r="C3" s="44" t="s">
        <v>7</v>
      </c>
      <c r="D3" s="15" t="s">
        <v>25</v>
      </c>
      <c r="E3" s="15" t="s">
        <v>30</v>
      </c>
      <c r="F3" s="15" t="s">
        <v>27</v>
      </c>
      <c r="G3" s="18" t="s">
        <v>32</v>
      </c>
    </row>
    <row r="4" spans="1:7" ht="225.45" customHeight="1">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75" customHeight="1">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75" customHeight="1">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5" customHeight="1">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05" customHeight="1">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05" customHeight="1">
      <c r="B9" s="20">
        <f>ROW(Entity[[#This Row],[ENo]])-3</f>
        <v>6</v>
      </c>
      <c r="C9" s="21" t="str">
        <f>_xlfn.XLOOKUP(Entity[[#This Row],[ENo]],InputEntities[ENo],InputEntities[Entity],"",0,1)</f>
        <v>TaskMstEntity</v>
      </c>
      <c r="D9" s="19" t="str" cm="1">
        <f t="array" ref="D9">_xlfn.TEXTJOIN(","&amp;CHAR(10)&amp;REPT(CHAR(9),3),TRUE,_xlfn._xlws.FILTER(ValueObject[Entity_コンストラクタ引数],ValueObject[Entity]=Entity[[#This Row],[Entity]]))</f>
        <v>int taskId,
			string? taskItem,
			DateTime? taskDeadLine,
			string? processCode,
			string? workerCode</v>
      </c>
      <c r="E9" s="19" t="str" cm="1">
        <f t="array" ref="E9">_xlfn.TEXTJOIN(CHAR(10)&amp;REPT(CHAR(9),3),TRUE,_xlfn._xlws.FILTER(ValueObject[Entity_コンストラクタ],ValueObject[Entity]=Entity[[#This Row],[Entity]]))</f>
        <v>TaskId = new TaskId(taskId);
			TaskItem = new TaskItem(taskItem);
			TaskDeadLine = new TaskDeadLine(taskDeadLine);
			ProcessCode = new ProcessCode(processCode);
			WorkerCode = new WorkerCode(workerCode);</v>
      </c>
      <c r="F9" s="19" t="str" cm="1">
        <f t="array" ref="F9">_xlfn.TEXTJOIN(CHAR(10),TRUE,_xlfn._xlws.FILTER(ValueObject[Entity_プロパティ_get],ValueObject[Entity]=Entity[[#This Row],[Entity]]))</f>
        <v>public TaskId TaskId { get; }
public TaskItem TaskItem { get; }
public TaskDeadLine TaskDeadLine { get; }
public ProcessCode ProcessCode { get; }
public WorkerCode WorkerCode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TaskMstEntity
    {
        public TaskMstEntity(
            int taskId,
			string? taskItem,
			DateTime? taskDeadLine,
			string? processCode,
			string? workerCode)
        {
            TaskId = new TaskId(taskId);
			TaskItem = new TaskItem(taskItem);
			TaskDeadLine = new TaskDeadLine(taskDeadLine);
			ProcessCode = new ProcessCode(processCode);
			WorkerCode = new WorkerCode(workerCode);
        }
        public TaskId TaskId { get; }
public TaskItem TaskItem { get; }
public TaskDeadLine TaskDeadLine { get; }
public ProcessCode ProcessCode { get; }
public WorkerCode WorkerCode { get; }
    }
}</v>
      </c>
    </row>
    <row r="10" spans="1:7" ht="20.05" customHeight="1">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05" customHeight="1">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05" customHeight="1">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05" customHeight="1">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05" customHeight="1">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05" customHeight="1">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05" customHeight="1">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05" customHeight="1">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05" customHeight="1">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05" customHeight="1">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05" customHeight="1">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05" customHeight="1">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05" customHeight="1">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05" customHeight="1">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45"/>
  <cols>
    <col min="1" max="1" width="2.5625" customWidth="1"/>
    <col min="2" max="2" width="6.4375" bestFit="1" customWidth="1"/>
    <col min="3" max="3" width="16.25" bestFit="1" customWidth="1"/>
    <col min="4" max="4" width="16.25" customWidth="1"/>
    <col min="5" max="5" width="40.1875" customWidth="1"/>
    <col min="6" max="6" width="27.0625" customWidth="1"/>
    <col min="8" max="8" width="56.0625" customWidth="1"/>
  </cols>
  <sheetData>
    <row r="1" spans="1:8" ht="19.3">
      <c r="A1" s="1" t="s">
        <v>91</v>
      </c>
    </row>
    <row r="3" spans="1:8">
      <c r="B3" s="15" t="s">
        <v>29</v>
      </c>
      <c r="C3" s="15" t="s">
        <v>7</v>
      </c>
      <c r="D3" s="15" t="s">
        <v>19</v>
      </c>
      <c r="E3" s="15" t="s">
        <v>99</v>
      </c>
      <c r="F3" s="40" t="s">
        <v>100</v>
      </c>
      <c r="H3" s="41" t="s">
        <v>101</v>
      </c>
    </row>
    <row r="4" spans="1:8" ht="174.45" customHeight="1">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
CREATE TABLE tmp_task_mst(task_id INTEGER,task_item TEXT,task_dead_line DATETIME,process_code TEXT,worker_code TEXT);</v>
      </c>
    </row>
    <row r="5" spans="1:8" ht="20.05" customHeight="1">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05" customHeight="1">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05" customHeight="1">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05" customHeight="1">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05" customHeight="1">
      <c r="B9" s="20">
        <f>ROW(Repository_SQLite[[#This Row],[ENo]])-3</f>
        <v>6</v>
      </c>
      <c r="C9" s="21" t="str">
        <f>_xlfn.XLOOKUP(SQLite_CREATE[[#This Row],[ENo]],InputEntities[ENo],InputEntities[Entity],"",0,1)</f>
        <v>TaskMstEntity</v>
      </c>
      <c r="D9" s="21" t="str">
        <f>IF(SQLite_CREATE[[#This Row],[Entity]]="","",_xlfn.XLOOKUP(SQLite_CREATE[[#This Row],[ENo]],InputEntities[ENo],InputEntities[DBテーブル_物理名],"",0,1))</f>
        <v>tmp_task_mst</v>
      </c>
      <c r="E9" s="19" t="str" cm="1">
        <f t="array" ref="E9">_xlfn.TEXTJOIN(",",TRUE,_xlfn._xlws.FILTER(ValueObject[SQLite_CREATE_Column],ValueObject[Entity]=SQLite_CREATE[[#This Row],[Entity]]))</f>
        <v>task_id INTEGER,task_item TEXT,task_dead_line DATETIME,process_code TEXT,worker_code TEXT</v>
      </c>
      <c r="F9" s="19" t="str" cm="1">
        <f t="array" ref="F9">IF(SQLite_CREATE[[#This Row],[Entity]]="","",SUBSTITUTE(SUBSTITUTE(Templates[SQLite_CREATE],"__Table__",SQLite_CREATE[[#This Row],[DBカラム_物理名]]),"__Columns__",SQLite_CREATE[[#This Row],[SQLite_CREATE_Columns]]))</f>
        <v>CREATE TABLE tmp_task_mst(task_id INTEGER,task_item TEXT,task_dead_line DATETIME,process_code TEXT,worker_code TEXT);</v>
      </c>
    </row>
    <row r="10" spans="1:8" ht="20.05" customHeight="1">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05" customHeight="1">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05" customHeight="1">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05" customHeight="1">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05" customHeight="1">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05" customHeight="1">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05" customHeight="1">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05" customHeight="1">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05" customHeight="1">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05" customHeight="1">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05" customHeight="1">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05" customHeight="1">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05" customHeight="1">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05" customHeight="1">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45" outlineLevelCol="1"/>
  <cols>
    <col min="1" max="1" width="2.5625" customWidth="1"/>
    <col min="2" max="2" width="5.8125" customWidth="1"/>
    <col min="3" max="3" width="31.625" bestFit="1" customWidth="1"/>
    <col min="4" max="4" width="31.3125" customWidth="1"/>
    <col min="5" max="6" width="28.25" hidden="1" customWidth="1" outlineLevel="1"/>
    <col min="7" max="7" width="31.3125" hidden="1" customWidth="1" outlineLevel="1"/>
    <col min="8" max="8" width="44.375" customWidth="1" collapsed="1"/>
    <col min="9" max="9" width="12.8125" customWidth="1"/>
  </cols>
  <sheetData>
    <row r="1" spans="1:8" ht="19.3">
      <c r="A1" s="1" t="s">
        <v>7</v>
      </c>
    </row>
    <row r="3" spans="1:8">
      <c r="B3" s="15" t="s">
        <v>29</v>
      </c>
      <c r="C3" s="15" t="s">
        <v>7</v>
      </c>
      <c r="D3" s="44" t="s">
        <v>34</v>
      </c>
      <c r="E3" s="15" t="s">
        <v>25</v>
      </c>
      <c r="F3" s="15" t="s">
        <v>30</v>
      </c>
      <c r="G3" s="15" t="s">
        <v>27</v>
      </c>
      <c r="H3" s="18" t="s">
        <v>33</v>
      </c>
    </row>
    <row r="4" spans="1:8" ht="228" customHeight="1">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05" customHeight="1">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05" customHeight="1">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05" customHeight="1">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05" customHeight="1">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05" customHeight="1">
      <c r="B9" s="20">
        <f>ROW(IRepository[[#This Row],[ENo]])-3</f>
        <v>6</v>
      </c>
      <c r="C9" s="21" t="str">
        <f>_xlfn.XLOOKUP(IRepository[[#This Row],[ENo]],InputEntities[ENo],InputEntities[Entity],"",0,1)</f>
        <v>TaskMstEntity</v>
      </c>
      <c r="D9" s="19" t="str">
        <f>IF(IRepository[[#This Row],[Entity]]="","",SUBSTITUTE("I"&amp;IRepository[[#This Row],[Entity]],"Entity","Repository"))</f>
        <v>ITaskMstRepository</v>
      </c>
      <c r="E9" s="19" t="str" cm="1">
        <f t="array" ref="E9">_xlfn.TEXTJOIN(","&amp;CHAR(10),TRUE,_xlfn._xlws.FILTER(ValueObject[Entity_コンストラクタ引数],ValueObject[Entity]=IRepository[[#This Row],[Entity]]))</f>
        <v>int taskId,
string? taskItem,
DateTime? taskDeadLine,
string? processCode,
string? workerCode</v>
      </c>
      <c r="F9" s="19" t="str" cm="1">
        <f t="array" ref="F9">_xlfn.TEXTJOIN(CHAR(10),TRUE,_xlfn._xlws.FILTER(ValueObject[Entity_コンストラクタ],ValueObject[Entity]=IRepository[[#This Row],[Entity]]))</f>
        <v>TaskId = new TaskId(taskId);
TaskItem = new TaskItem(taskItem);
TaskDeadLine = new TaskDeadLine(taskDeadLine);
ProcessCode = new ProcessCode(processCode);
WorkerCode = new WorkerCode(workerCode);</v>
      </c>
      <c r="G9" s="19" t="str" cm="1">
        <f t="array" ref="G9">_xlfn.TEXTJOIN(CHAR(10),TRUE,_xlfn._xlws.FILTER(ValueObject[Entity_プロパティ_get],ValueObject[Entity]=IRepository[[#This Row],[Entity]]))</f>
        <v>public TaskId TaskId { get; }
public TaskItem TaskItem { get; }
public TaskDeadLine TaskDeadLine { get; }
public ProcessCode ProcessCode { get; }
public WorkerCode WorkerCode { get; }</v>
      </c>
      <c r="H9" s="19" t="str" cm="1">
        <f t="array" ref="H9">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ITaskMstRepository
    {
        IReadOnlyList&lt;TaskMstEntity&gt; GetData();
        void Save(TaskMstEntity entity);
        void Delete(TaskMstEntity entity);
    }
}</v>
      </c>
    </row>
    <row r="10" spans="1:8" ht="20.05" customHeight="1">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05" customHeight="1">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05" customHeight="1">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05" customHeight="1">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05" customHeight="1">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05" customHeight="1">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05" customHeight="1">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05" customHeight="1">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05" customHeight="1">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05" customHeight="1">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05" customHeight="1">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05" customHeight="1">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05" customHeight="1">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05" customHeight="1">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45" outlineLevelCol="1"/>
  <cols>
    <col min="1" max="1" width="2.5625" customWidth="1"/>
    <col min="2" max="2" width="5.8125" customWidth="1"/>
    <col min="3" max="3" width="22.3125" customWidth="1"/>
    <col min="4" max="4" width="31.125" customWidth="1"/>
    <col min="5" max="6" width="22.3125" hidden="1" customWidth="1" outlineLevel="1"/>
    <col min="7" max="7" width="17.875" hidden="1" customWidth="1" outlineLevel="1"/>
    <col min="8" max="10" width="31.625" hidden="1" customWidth="1" outlineLevel="1"/>
    <col min="11" max="11" width="42.5" hidden="1" customWidth="1" outlineLevel="1"/>
    <col min="12" max="12" width="31.625" hidden="1" customWidth="1" outlineLevel="1"/>
    <col min="13" max="13" width="33.3125" hidden="1" customWidth="1" outlineLevel="1"/>
    <col min="14" max="15" width="35.1875" hidden="1" customWidth="1" outlineLevel="1"/>
    <col min="16" max="16" width="37.875" hidden="1" customWidth="1" outlineLevel="1"/>
    <col min="17" max="17" width="16.25" customWidth="1" collapsed="1"/>
    <col min="18" max="18" width="16.25" customWidth="1"/>
    <col min="19" max="19" width="19.6875" customWidth="1"/>
    <col min="20" max="20" width="19.9375" customWidth="1"/>
    <col min="21" max="21" width="40.5625" customWidth="1"/>
    <col min="22" max="22" width="28.25" customWidth="1"/>
    <col min="23" max="23" width="31.3125" customWidth="1"/>
    <col min="24" max="24" width="52.875" customWidth="1"/>
    <col min="25" max="25" width="12.8125" customWidth="1"/>
  </cols>
  <sheetData>
    <row r="1" spans="1:21" ht="19.3">
      <c r="A1" s="1" t="s">
        <v>37</v>
      </c>
    </row>
    <row r="3" spans="1:21">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05" customHeight="1">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worker_group_code,
  worker_group_name
FROM
  tmp_worker_group_mst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tmp_worker_group_mst
 (worker_group_code,
  worker_group_name)
VALUES
 (@worker_group_code,
  @worker_group_name)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tmp_worker_group_mst
SET 
  worker_group_name = @worker_group_name
WHERE
  worker_group_code = @worker_group_code</v>
      </c>
      <c r="T5" s="19" t="str" cm="1">
        <f t="array" ref="T5">SUBSTITUTE(SUBSTITUTE(Templates[SQL_DELETE],"__Table__",Repository_SQLite[[#This Row],[DBテーブル_物理名]]),"__DeleteWhere__",Repository_SQLite[[#This Row],[SQL_Where_SQLite]])</f>
        <v>DELETE FROM tmp_worker_group_mst WHERE worker_group_code = @worker_group_code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1" ht="190.75" customHeight="1">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worker_group_code
FROM
  tmp_worker_mst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worker_group_code)
VALUES
 (@worker_code,
  @worker_name,
  @worker_group_code)</v>
      </c>
      <c r="S6" s="19" t="str" cm="1">
        <f t="array" ref="S6">SUBSTITUTE(SUBSTITUTE(SUBSTITUTE(Templates[SQL_UPDATE],"__Table__",Repository_SQLite[[#This Row],[DBテーブル_物理名]]),"__UpdateSet__",Repository_SQLite[[#This Row],[SQL_UpdateSet_SQLite]]),"__UpdateWhere__",Repository_SQLite[[#This Row],[SQL_Where_SQLite]])</f>
        <v>UPDATE tmp_worker_mst
SET 
  worker_name = @worker_name,
  worker_group_code = @worker_group_code
WHERE
  worker_code = @worker_code</v>
      </c>
      <c r="T6" s="19" t="str" cm="1">
        <f t="array" ref="T6">SUBSTITUTE(SUBSTITUTE(Templates[SQL_DELETE],"__Table__",Repository_SQLite[[#This Row],[DBテーブル_物理名]]),"__DeleteWhere__",Repository_SQLite[[#This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75" customHeight="1">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05" customHeight="1">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05" customHeight="1">
      <c r="B9" s="20">
        <f>ROW(Repository_SQLite[[#This Row],[ENo]])-3</f>
        <v>6</v>
      </c>
      <c r="C9" s="21" t="str">
        <f>_xlfn.XLOOKUP(Repository_SQLite[[#This Row],[ENo]],InputEntities[ENo],InputEntities[Entity],"",0,1)</f>
        <v>TaskMstEntity</v>
      </c>
      <c r="D9" s="21" t="str">
        <f>SUBSTITUTE(Repository_SQLite[[#This Row],[Entity]],"Entity","SQLite")</f>
        <v>TaskMstSQLite</v>
      </c>
      <c r="E9" s="21" t="str">
        <f>SUBSTITUTE(Repository_SQLite[[#This Row],[Entity]],"Entity","Oracle")</f>
        <v>TaskMstOracle</v>
      </c>
      <c r="F9" s="19" t="str">
        <f>SUBSTITUTE("I"&amp;Repository_SQLite[[#This Row],[Entity]],"Entity","Repository")</f>
        <v>ITaskMstRepository</v>
      </c>
      <c r="G9" s="19" t="str">
        <f>SUBSTITUTE("Create"&amp;Repository_SQLite[[#This Row],[Entity]],"Entity","")</f>
        <v>CreateTaskMst</v>
      </c>
      <c r="H9" s="21" t="str">
        <f>_xlfn.XLOOKUP(Repository_SQLite[[#This Row],[ENo]],InputEntities[ENo],InputEntities[DBテーブル_物理名],"",0,1)</f>
        <v>tmp_task_mst</v>
      </c>
      <c r="I9" s="19" t="str" cm="1">
        <f t="array" ref="I9">_xlfn.TEXTJOIN(","&amp;CHAR(10)&amp;"  ",TRUE,_xlfn._xlws.FILTER(ValueObject[DBテーブル_物理名],ValueObject[Entity]=Repository_SQLite[[#This Row],[Entity]]))</f>
        <v>task_id,
  task_item,
  task_dead_line,
  process_code,
  worker_code</v>
      </c>
      <c r="J9" s="19" t="str" cm="1">
        <f t="array" ref="J9">_xlfn.TEXTJOIN(","&amp;CHAR(10)&amp;"  ",TRUE,_xlfn._xlws.FILTER(ValueObject[SQLite_パラメータ],ValueObject[Entity]=Repository_SQLite[[#This Row],[Entity]]))</f>
        <v>@task_id,
  @task_item,
  @task_dead_line,
  @process_code,
  @worker_code</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task_item = @task_item,
  task_dead_line = @task_dead_line,
  process_code = @process_code,
  worker_code = @worker_code</v>
      </c>
      <c r="L9" s="19" t="str" cm="1">
        <f t="array" ref="L9">_xlfn.TEXTJOIN(CHAR(10)&amp;"  AND ",TRUE,_xlfn._xlws.FILTER(ValueObject[SQL_Update],(ValueObject[Entity]=Repository_SQLite[[#This Row],[Entity]])*(ValueObject[PK]&gt;0)))</f>
        <v>task_id = @task_id</v>
      </c>
      <c r="M9" s="19" t="str" cm="1">
        <f t="array" ref="M9">_xlfn.TEXTJOIN(","&amp;CHAR(10)&amp;REPT(CHAR(9),6),TRUE,_xlfn._xlws.FILTER(ValueObject[Repository_Entity_Args],ValueObject[Entity]=Repository_SQLite[[#This Row],[Entity]]))</f>
        <v>Convert.ToInt32(reader["task_id"]),
						reader["task_item"] != DBNull.Value ? Convert.ToString(reader["task_item"]) : null,
						reader["task_dead_line"] != DBNull.Value ? Convert.ToDateTime(reader["task_dead_line"]) : null,
						reader["process_code"] != DBNull.Value ? Convert.ToString(reader["process_code"]) : null,
						reader["worker_code"] != DBNull.Value ? Convert.ToString(reader["worker_code"]) : null</v>
      </c>
      <c r="N9" s="19" t="str" cm="1">
        <f t="array" ref="N9">_xlfn.TEXTJOIN(","&amp;CHAR(10)&amp;REPT(CHAR(9),4),TRUE,_xlfn._xlws.FILTER(ValueObject[SQLiteParameter_Args],ValueObject[Entity]=Repository_SQLite[[#This Row],[Entity]]))</f>
        <v>new SQLiteParameter("@task_id", entity.TaskId.Value),
				new SQLiteParameter("@task_item", entity.TaskItem.Value),
				new SQLiteParameter("@task_dead_line", entity.TaskDeadLine.Value),
				new SQLiteParameter("@process_code", entity.ProcessCode.Value),
				new SQLiteParameter("@worker_code", entity.WorkerCode.Value)</v>
      </c>
      <c r="O9" s="19" t="str" cm="1">
        <f t="array" ref="O9">_xlfn.TEXTJOIN(","&amp;CHAR(10)&amp;REPT(CHAR(9),4),TRUE,_xlfn._xlws.FILTER(ValueObject[SQLiteParameter_Args],(ValueObject[Entity]=Repository_SQLite[[#This Row],[Entity]])*(ValueObject[PK]&gt;0)))</f>
        <v>new SQLiteParameter("@task_id", entity.TaskId.Value)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ITaskMstRepository CreateTaskMst()
        {
#if DEBUG
            if (Shared.IsFake)
            {
                return new TaskMstSQLite();
            }
#endif
            return new TaskMstOracle();
        }</v>
      </c>
      <c r="Q9" s="19" t="str" cm="1">
        <f t="array" ref="Q9">SUBSTITUTE(SUBSTITUTE(Templates[SQL_SELECT],"__Columns__",Repository_SQLite[[#This Row],[SQL_カラム]]),"__Table__",Repository_SQLite[[#This Row],[DBテーブル_物理名]])</f>
        <v>SELECT
  task_id,
  task_item,
  task_dead_line,
  process_code,
  worker_code
FROM
  tmp_task_mst</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tmp_task_mst
 (task_id,
  task_item,
  task_dead_line,
  process_code,
  worker_code)
VALUES
 (@task_id,
  @task_item,
  @task_dead_line,
  @process_code,
  @worker_code)</v>
      </c>
      <c r="S9" s="19" t="str" cm="1">
        <f t="array" ref="S9">SUBSTITUTE(SUBSTITUTE(SUBSTITUTE(Templates[SQL_UPDATE],"__Table__",Repository_SQLite[[#This Row],[DBテーブル_物理名]]),"__UpdateSet__",Repository_SQLite[[#This Row],[SQL_UpdateSet_SQLite]]),"__UpdateWhere__",Repository_SQLite[[#This Row],[SQL_Where_SQLite]])</f>
        <v>UPDATE tmp_task_mst
SET 
  task_item = @task_item,
  task_dead_line = @task_dead_line,
  process_code = @process_code,
  worker_code = @worker_code
WHERE
  task_id = @task_id</v>
      </c>
      <c r="T9" s="19" t="str" cm="1">
        <f t="array" ref="T9">SUBSTITUTE(SUBSTITUTE(Templates[SQL_DELETE],"__Table__",Repository_SQLite[[#This Row],[DBテーブル_物理名]]),"__DeleteWhere__",Repository_SQLite[[#This Row],[SQL_Where_SQLite]])</f>
        <v>DELETE FROM tmp_task_mst WHERE task_id = @task_id</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TaskMstSQLite : ITaskMstRepository
    {
        public IReadOnlyList&lt;TaskMstEntity&gt; GetData()
        {
            string sql = @"
SELECT
  task_id,
  task_item,
  task_dead_line,
  process_code,
  worker_code
FROM
  tmp_task_mst
";
            return SQLiteHelper.Query(sql,
                reader =&gt;
                {
                    return new TaskMstEntity(
                        Convert.ToInt32(reader["task_id"]),
						reader["task_item"] != DBNull.Value ? Convert.ToString(reader["task_item"]) : null,
						reader["task_dead_line"] != DBNull.Value ? Convert.ToDateTime(reader["task_dead_line"]) : null,
						reader["process_code"] != DBNull.Value ? Convert.ToString(reader["process_code"]) : null,
						reader["worker_code"] != DBNull.Value ? Convert.ToString(reader["worker_code"]) : null
                        );
                });
        }
        public void Save(TaskMstEntity entity)
        {
            string insert = @"
INSERT INTO tmp_task_mst
 (task_id,
  task_item,
  task_dead_line,
  process_code,
  worker_code)
VALUES
 (@task_id,
  @task_item,
  @task_dead_line,
  @process_code,
  @worker_code)
";
            string update = @"
UPDATE tmp_task_mst
SET 
  task_item = @task_item,
  task_dead_line = @task_dead_line,
  process_code = @process_code,
  worker_code = @worker_code
WHERE
  task_id = @task_id
";
            var args = new List&lt;SQLiteParameter&gt;
            {
                new SQLiteParameter("@task_id", entity.TaskId.Value),
				new SQLiteParameter("@task_item", entity.TaskItem.Value),
				new SQLiteParameter("@task_dead_line",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row>
    <row r="10" spans="1:21" ht="20.05" customHeight="1">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05" customHeight="1">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05" customHeight="1">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05" customHeight="1">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05" customHeight="1">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05" customHeight="1">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05" customHeight="1">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05" customHeight="1">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05" customHeight="1">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05" customHeight="1">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05" customHeight="1">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05" customHeight="1">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05" customHeight="1">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05" customHeight="1">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45" outlineLevelCol="1"/>
  <cols>
    <col min="1" max="1" width="2.5625" customWidth="1"/>
    <col min="2" max="2" width="5.6875" customWidth="1"/>
    <col min="3" max="3" width="14.625" bestFit="1" customWidth="1"/>
    <col min="4" max="4" width="23.8125" bestFit="1" customWidth="1"/>
    <col min="5" max="5" width="19.9375" customWidth="1"/>
    <col min="6" max="6" width="44.875" hidden="1" customWidth="1" outlineLevel="1"/>
    <col min="7" max="7" width="44.875" customWidth="1" collapsed="1"/>
    <col min="8" max="10" width="2.5625" customWidth="1"/>
    <col min="11" max="12" width="38.0625" customWidth="1"/>
  </cols>
  <sheetData>
    <row r="1" spans="1:12" ht="19.3">
      <c r="A1" s="1" t="s">
        <v>120</v>
      </c>
    </row>
    <row r="3" spans="1:12">
      <c r="C3" s="2" t="s">
        <v>121</v>
      </c>
      <c r="D3" s="3" t="s">
        <v>122</v>
      </c>
    </row>
    <row r="4" spans="1:12">
      <c r="K4" t="s">
        <v>129</v>
      </c>
    </row>
    <row r="5" spans="1:12">
      <c r="B5" s="15" t="s">
        <v>123</v>
      </c>
      <c r="C5" s="15" t="s">
        <v>7</v>
      </c>
      <c r="D5" s="15" t="s">
        <v>53</v>
      </c>
      <c r="E5" s="44" t="s">
        <v>76</v>
      </c>
      <c r="F5" s="15" t="s">
        <v>124</v>
      </c>
      <c r="G5" s="27" t="s">
        <v>125</v>
      </c>
      <c r="K5" s="5" t="s">
        <v>127</v>
      </c>
      <c r="L5" s="5" t="s">
        <v>128</v>
      </c>
    </row>
    <row r="6" spans="1:12" ht="262.3" customHeight="1">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05" customHeight="1">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05" customHeight="1">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05" customHeight="1">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05" customHeight="1">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05" customHeight="1">
      <c r="B11" s="21">
        <f>ROW(Repository_Oracle[[#This Row],[Eno]])-5</f>
        <v>6</v>
      </c>
      <c r="C11" s="21" t="str">
        <f>_xlfn.XLOOKUP(Repository_Oracle[[#This Row],[Eno]],InputEntities[ENo],InputEntities[Entity],"",0,1)</f>
        <v>TaskMstEntity</v>
      </c>
      <c r="D11" s="21" t="str">
        <f>SUBSTITUTE(Repository_Oracle[[#This Row],[Entity]],"Entity","SQLite")</f>
        <v>TaskMstSQLite</v>
      </c>
      <c r="E11" s="21" t="str">
        <f>SUBSTITUTE(Repository_Oracle[[#This Row],[Entity]],"Entity","Oracle")</f>
        <v>TaskMstOracle</v>
      </c>
      <c r="F11" s="19" t="str">
        <f>_xlfn.XLOOKUP(Repository_Oracle[[#This Row],[Eno]],Repository_SQLite[ENo],Repository_SQLite[RepositorySQLiteコード],"",0,1)</f>
        <v>using System.Data.SQLite;
using Template2.Domain.Entities;
using Template2.Domain.Repositories;
namespace Template2.Infrastructure.SQLite
{
    internal class TaskMstSQLite : ITaskMstRepository
    {
        public IReadOnlyList&lt;TaskMstEntity&gt; GetData()
        {
            string sql = @"
SELECT
  task_id,
  task_item,
  task_dead_line,
  process_code,
  worker_code
FROM
  tmp_task_mst
";
            return SQLiteHelper.Query(sql,
                reader =&gt;
                {
                    return new TaskMstEntity(
                        Convert.ToInt32(reader["task_id"]),
						reader["task_item"] != DBNull.Value ? Convert.ToString(reader["task_item"]) : null,
						reader["task_dead_line"] != DBNull.Value ? Convert.ToDateTime(reader["task_dead_line"]) : null,
						reader["process_code"] != DBNull.Value ? Convert.ToString(reader["process_code"]) : null,
						reader["worker_code"] != DBNull.Value ? Convert.ToString(reader["worker_code"]) : null
                        );
                });
        }
        public void Save(TaskMstEntity entity)
        {
            string insert = @"
INSERT INTO tmp_task_mst
 (task_id,
  task_item,
  task_dead_line,
  process_code,
  worker_code)
VALUES
 (@task_id,
  @task_item,
  @task_dead_line,
  @process_code,
  @worker_code)
";
            string update = @"
UPDATE tmp_task_mst
SET 
  task_item = @task_item,
  task_dead_line = @task_dead_line,
  process_code = @process_code,
  worker_code = @worker_code
WHERE
  task_id = @task_id
";
            var args = new List&lt;SQLiteParameter&gt;
            {
                new SQLiteParameter("@task_id", entity.TaskId.Value),
				new SQLiteParameter("@task_item", entity.TaskItem.Value),
				new SQLiteParameter("@task_dead_line",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TaskMstOracle : ITaskMstRepository
    {
        public IReadOnlyList&lt;TaskMstEntity&gt; GetData()
        {
            string sql = @"
SELECT
  task_id,
  task_item,
  task_dead_line,
  process_code,
  worker_code
FROM
  tmp_task_mst
";
            return OracleOdpHelper.Query(sql,
                reader =&gt;
                {
                    return new TaskMstEntity(
                        Convert.ToInt32(reader["task_id"]),
						reader["task_item"] != DBNull.Value ? Convert.ToString(reader["task_item"]) : null,
						reader["task_dead_line"] != DBNull.Value ? Convert.ToDateTime(reader["task_dead_line"]) : null,
						reader["process_code"] != DBNull.Value ? Convert.ToString(reader["process_code"]) : null,
						reader["worker_code"] != DBNull.Value ? Convert.ToString(reader["worker_code"]) : null
                        );
                });
        }
        public void Save(TaskMstEntity entity)
        {
            string insert = @"
INSERT INTO tmp_task_mst
 (task_id,
  task_item,
  task_dead_line,
  process_code,
  worker_code)
VALUES
 (:task_id,
  :task_item,
  :task_dead_line,
  :process_code,
  :worker_code)
";
            string update = @"
UPDATE tmp_task_mst
SET 
  task_item = :task_item,
  task_dead_line = :task_dead_line,
  process_code = :process_code,
  worker_code = :worker_code
WHERE
  task_id = :task_id
";
            var args = new List&lt;OracleParameter&gt;
            {
                new OracleParameter(":task_id", entity.TaskId.Value),
				new OracleParameter(":task_item", entity.TaskItem.Value),
				new OracleParameter(":task_dead_line", entity.TaskDeadLine.Value),
				new OracleParameter(":process_code", entity.ProcessCode.Value),
				new OracleParameter(":worker_code", entity.WorkerCode.Value)
            };
            OracleOdpHelper.Execute(insert, update, args.ToArray());
        }
        public void Delete(TaskMstEntity entity)
        {
            string delete = @"
DELETE FROM tmp_task_mst WHERE task_id = :task_id
";
            var args = new List&lt;OracleParameter&gt;
            {
                new OracleParameter(":task_id", entity.TaskId.Value)
            };
            OracleOdpHelper.Execute(delete, args.ToArray());
        }
    }
}</v>
      </c>
    </row>
    <row r="12" spans="1:12" ht="20.05" customHeight="1">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05" customHeight="1">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05" customHeight="1">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05" customHeight="1">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05" customHeight="1">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05" customHeight="1">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05" customHeight="1">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05" customHeight="1">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05" customHeight="1">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05" customHeight="1">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05" customHeight="1">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05" customHeight="1">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05" customHeight="1">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05" customHeight="1">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05" customHeight="1"/>
    <row r="27" spans="2:7" ht="20.05" customHeight="1"/>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45"/>
  <cols>
    <col min="1" max="2" width="2.5625" customWidth="1"/>
    <col min="3" max="3" width="57.5" customWidth="1"/>
    <col min="4" max="4" width="58.875" customWidth="1"/>
  </cols>
  <sheetData>
    <row r="1" spans="1:4" ht="19.3">
      <c r="A1" s="1" t="s">
        <v>73</v>
      </c>
    </row>
    <row r="3" spans="1:4">
      <c r="C3" s="11" t="s">
        <v>79</v>
      </c>
      <c r="D3" s="27" t="s">
        <v>73</v>
      </c>
    </row>
    <row r="4" spans="1:4" ht="409.6">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45" outlineLevelCol="1"/>
  <cols>
    <col min="1" max="2" width="2.5625" customWidth="1"/>
    <col min="3" max="3" width="5.625" customWidth="1"/>
    <col min="4" max="4" width="19.5625" bestFit="1" customWidth="1"/>
    <col min="5" max="5" width="31" bestFit="1" customWidth="1"/>
    <col min="6" max="6" width="38.5" bestFit="1" customWidth="1"/>
    <col min="7" max="7" width="59.125" hidden="1" customWidth="1" outlineLevel="1"/>
    <col min="8" max="8" width="39.1875" hidden="1" customWidth="1" outlineLevel="1"/>
    <col min="9" max="9" width="62.8125" customWidth="1" collapsed="1"/>
    <col min="10" max="10" width="68.25" customWidth="1"/>
  </cols>
  <sheetData>
    <row r="1" spans="1:10" ht="19.3">
      <c r="A1" s="1" t="s">
        <v>80</v>
      </c>
    </row>
    <row r="3" spans="1:10">
      <c r="C3" s="31" t="s">
        <v>29</v>
      </c>
      <c r="D3" s="31" t="s">
        <v>81</v>
      </c>
      <c r="E3" s="31" t="s">
        <v>7</v>
      </c>
      <c r="F3" s="46" t="s">
        <v>80</v>
      </c>
      <c r="G3" s="31" t="s">
        <v>82</v>
      </c>
      <c r="H3" s="31" t="s">
        <v>85</v>
      </c>
      <c r="I3" s="32" t="s">
        <v>86</v>
      </c>
      <c r="J3" s="33" t="s">
        <v>87</v>
      </c>
    </row>
    <row r="4" spans="1:10" ht="353.15" customHeight="1">
      <c r="C4" s="21">
        <f>ROW(Entity[[#This Row],[ENo]])-3</f>
        <v>1</v>
      </c>
      <c r="D4" s="21">
        <f>_xlfn.XLOOKUP(ViewModelEntity[[#This Row],[ENo]],InputEntities[ENo],InputEntities[ViewModel],"",0,1)</f>
        <v>0</v>
      </c>
      <c r="E4" s="29" t="str">
        <f>IF(ViewModelEntity[[#This Row],[ViewModel]]=0,"",_xlfn.XLOOKUP(ViewModelEntity[[#This Row],[ENo]],InputEntities[ENo],InputEntities[Entity],"",0,1))</f>
        <v/>
      </c>
      <c r="F4" s="21" t="str">
        <f>IF(ViewModelEntity[[#This Row],[Entity]]="","",ViewModelEntity[[#This Row],[ViewModel]]&amp;SUBSTITUTE(ViewModelEntity[[#This Row],[Entity]],"Entity",""))</f>
        <v/>
      </c>
      <c r="G4" s="19" t="str" cm="1">
        <f t="array" ref="G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4" s="19" t="str" cm="1">
        <f t="array" ref="H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5" spans="1:10" ht="20.05" customHeight="1">
      <c r="C5" s="21">
        <f>ROW(Entity[[#This Row],[ENo]])-3</f>
        <v>2</v>
      </c>
      <c r="D5" s="21" t="str">
        <f>_xlfn.XLOOKUP(ViewModelEntity[[#This Row],[ENo]],InputEntities[ENo],InputEntities[ViewModel],"",0,1)</f>
        <v>Sample001ViewModel</v>
      </c>
      <c r="E5" s="29" t="str">
        <f>IF(ViewModelEntity[[#This Row],[ViewModel]]=0,"",_xlfn.XLOOKUP(ViewModelEntity[[#This Row],[ENo]],InputEntities[ENo],InputEntities[Entity],"",0,1))</f>
        <v>WorkerGroupMstEntity</v>
      </c>
      <c r="F5" s="21" t="str">
        <f>IF(ViewModelEntity[[#This Row],[Entity]]="","",ViewModelEntity[[#This Row],[ViewModel]]&amp;SUBSTITUTE(ViewModelEntity[[#This Row],[Entity]],"Entity",""))</f>
        <v>Sample001ViewModelWorkerGroupMst</v>
      </c>
      <c r="G5" s="19" t="str" cm="1">
        <f t="array" ref="G5">_xlfn.TEXTJOIN(CHAR(10),TRUE,_xlfn._xlws.FILTER(ValueObject[ViewModelEntity_Property_get],ValueObject[Entity]=ViewModelEntity[[#This Row],[Entity]]))</f>
        <v xml:space="preserve">        public string WorkerGroupCode =&gt; Entity.WorkerGroupCode.Value;
        public string WorkerGroupName =&gt; Entity.WorkerGroupName.Value;</v>
      </c>
      <c r="H5" s="19" t="str" cm="1">
        <f t="array" ref="H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=&gt; Entity.WorkerGroupCode.Value;
        public string WorkerGroupName =&gt; Entity.WorkerGroupName.Value;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10" ht="20.05" customHeight="1">
      <c r="C6" s="21">
        <f>ROW(Entity[[#This Row],[ENo]])-3</f>
        <v>3</v>
      </c>
      <c r="D6" s="21" t="str">
        <f>_xlfn.XLOOKUP(ViewModelEntity[[#This Row],[ENo]],InputEntities[ENo],InputEntities[ViewModel],"",0,1)</f>
        <v>Sample002ViewModel</v>
      </c>
      <c r="E6" s="29" t="str">
        <f>IF(ViewModelEntity[[#This Row],[ViewModel]]=0,"",_xlfn.XLOOKUP(ViewModelEntity[[#This Row],[ENo]],InputEntities[ENo],InputEntities[Entity],"",0,1))</f>
        <v>WorkerMstEntity</v>
      </c>
      <c r="F6" s="21" t="str">
        <f>IF(ViewModelEntity[[#This Row],[Entity]]="","",ViewModelEntity[[#This Row],[ViewModel]]&amp;SUBSTITUTE(ViewModelEntity[[#This Row],[Entity]],"Entity",""))</f>
        <v>Sample002ViewModelWorkerMst</v>
      </c>
      <c r="G6" s="19" t="str" cm="1">
        <f t="array" ref="G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H6" s="19" t="str" cm="1">
        <f t="array" ref="H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public string? WorkerGroupCode =&gt; Entity.WorkerGroupCode.Value;
    }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10" ht="20.05" customHeight="1">
      <c r="C7" s="21">
        <f>ROW(Entity[[#This Row],[ENo]])-3</f>
        <v>4</v>
      </c>
      <c r="D7" s="21" t="str">
        <f>_xlfn.XLOOKUP(ViewModelEntity[[#This Row],[ENo]],InputEntities[ENo],InputEntities[ViewModel],"",0,1)</f>
        <v>Sample003ViewModel</v>
      </c>
      <c r="E7" s="29" t="str">
        <f>IF(ViewModelEntity[[#This Row],[ViewModel]]=0,"",_xlfn.XLOOKUP(ViewModelEntity[[#This Row],[ENo]],InputEntities[ENo],InputEntities[Entity],"",0,1))</f>
        <v>WorkingTimePlanMstEntity</v>
      </c>
      <c r="F7" s="21" t="str">
        <f>IF(ViewModelEntity[[#This Row],[Entity]]="","",ViewModelEntity[[#This Row],[ViewModel]]&amp;SUBSTITUTE(ViewModelEntity[[#This Row],[Entity]],"Entity",""))</f>
        <v>Sample003ViewModelWorkingTimePlanMst</v>
      </c>
      <c r="G7" s="19" t="str" cm="1">
        <f t="array" ref="G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H7" s="19" t="str" cm="1">
        <f t="array" ref="H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=&gt; Entity.WorkerCode.Value;
        public int Weekday =&gt; Entity.Weekday.Value;
        public float? WorkingTime =&gt; Entity.WorkingTime.Value;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10" ht="20.05" customHeight="1">
      <c r="C8" s="21">
        <f>ROW(Entity[[#This Row],[ENo]])-3</f>
        <v>5</v>
      </c>
      <c r="D8" s="21" t="str">
        <f>_xlfn.XLOOKUP(ViewModelEntity[[#This Row],[ENo]],InputEntities[ENo],InputEntities[ViewModel],"",0,1)</f>
        <v>Sample004PageListViewModel</v>
      </c>
      <c r="E8" s="29" t="str">
        <f>IF(ViewModelEntity[[#This Row],[ViewModel]]=0,"",_xlfn.XLOOKUP(ViewModelEntity[[#This Row],[ENo]],InputEntities[ENo],InputEntities[Entity],"",0,1))</f>
        <v>PageMstEntity</v>
      </c>
      <c r="F8" s="21" t="str">
        <f>IF(ViewModelEntity[[#This Row],[Entity]]="","",ViewModelEntity[[#This Row],[ViewModel]]&amp;SUBSTITUTE(ViewModelEntity[[#This Row],[Entity]],"Entity",""))</f>
        <v>Sample004PageListViewModelPageMst</v>
      </c>
      <c r="G8" s="19" t="str" cm="1">
        <f t="array" ref="G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8" s="19" t="str" cm="1">
        <f t="array" ref="H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10" ht="20.05" customHeight="1">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05" customHeight="1">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05" customHeight="1">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05" customHeight="1">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05" customHeight="1">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05" customHeight="1">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05" customHeight="1">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05" customHeight="1">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05" customHeight="1">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05" customHeight="1">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05" customHeight="1">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05" customHeight="1">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05" customHeight="1">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05" customHeight="1">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05" customHeight="1">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yutaro nakai</cp:lastModifiedBy>
  <dcterms:created xsi:type="dcterms:W3CDTF">2022-12-03T05:49:32Z</dcterms:created>
  <dcterms:modified xsi:type="dcterms:W3CDTF">2023-02-18T13:17:06Z</dcterms:modified>
</cp:coreProperties>
</file>