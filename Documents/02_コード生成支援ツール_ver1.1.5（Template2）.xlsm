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81ED1C89-83E5-4C2B-BCDC-841E6AE33B94}"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2" i="1" l="1"/>
  <c r="T32" i="1"/>
  <c r="Q32" i="1"/>
  <c r="S32" i="1" s="1"/>
  <c r="K32" i="1"/>
  <c r="U31" i="1"/>
  <c r="T31" i="1"/>
  <c r="S31" i="1"/>
  <c r="Q31" i="1"/>
  <c r="K31" i="1"/>
  <c r="U30" i="1"/>
  <c r="T30" i="1"/>
  <c r="Q30" i="1"/>
  <c r="S30" i="1" s="1"/>
  <c r="K30" i="1"/>
  <c r="U29" i="1"/>
  <c r="T29" i="1"/>
  <c r="Q29" i="1"/>
  <c r="S29" i="1" s="1"/>
  <c r="K29" i="1"/>
  <c r="U28" i="1"/>
  <c r="T28" i="1"/>
  <c r="Q28" i="1"/>
  <c r="S28" i="1" s="1"/>
  <c r="K28" i="1"/>
  <c r="U27" i="1"/>
  <c r="T27" i="1"/>
  <c r="S27" i="1"/>
  <c r="Q27" i="1"/>
  <c r="K27" i="1"/>
  <c r="U26" i="1"/>
  <c r="T26" i="1"/>
  <c r="Q26" i="1"/>
  <c r="S26" i="1" s="1"/>
  <c r="K26" i="1"/>
  <c r="U25" i="1"/>
  <c r="T25" i="1"/>
  <c r="Q25" i="1"/>
  <c r="S25" i="1" s="1"/>
  <c r="K25" i="1"/>
  <c r="U24" i="1"/>
  <c r="T24" i="1"/>
  <c r="Q24" i="1"/>
  <c r="S24" i="1" s="1"/>
  <c r="K24" i="1"/>
  <c r="U23" i="1"/>
  <c r="T23" i="1"/>
  <c r="S23" i="1"/>
  <c r="Q23" i="1"/>
  <c r="K23" i="1"/>
  <c r="U22" i="1"/>
  <c r="T22" i="1"/>
  <c r="Q22" i="1"/>
  <c r="S22" i="1" s="1"/>
  <c r="K22" i="1"/>
  <c r="U21" i="1"/>
  <c r="T21" i="1"/>
  <c r="Q21" i="1"/>
  <c r="S21" i="1" s="1"/>
  <c r="K21" i="1"/>
  <c r="U20" i="1"/>
  <c r="T20" i="1"/>
  <c r="Q20" i="1"/>
  <c r="S20" i="1" s="1"/>
  <c r="K20" i="1"/>
  <c r="U19" i="1"/>
  <c r="T19" i="1"/>
  <c r="S19" i="1"/>
  <c r="Q19" i="1"/>
  <c r="K19" i="1"/>
  <c r="U18" i="1"/>
  <c r="T18" i="1"/>
  <c r="Q18" i="1"/>
  <c r="S18" i="1" s="1"/>
  <c r="K18" i="1"/>
  <c r="U17" i="1"/>
  <c r="T17" i="1"/>
  <c r="Q17" i="1"/>
  <c r="S17" i="1" s="1"/>
  <c r="K17" i="1"/>
  <c r="U16" i="1"/>
  <c r="T16" i="1"/>
  <c r="Q16" i="1"/>
  <c r="S16" i="1" s="1"/>
  <c r="K16" i="1"/>
  <c r="U15" i="1"/>
  <c r="T15" i="1"/>
  <c r="S15" i="1"/>
  <c r="Q15" i="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U34" i="1"/>
  <c r="T34" i="1"/>
  <c r="Q34" i="1"/>
  <c r="S34" i="1" s="1"/>
  <c r="K34" i="1"/>
  <c r="F11" i="15" l="1"/>
  <c r="E11" i="15"/>
  <c r="F10" i="15"/>
  <c r="E10" i="15"/>
  <c r="F9" i="15"/>
  <c r="E9" i="15"/>
  <c r="F8" i="15"/>
  <c r="E8" i="15"/>
  <c r="F7" i="15"/>
  <c r="E7" i="15"/>
  <c r="U11" i="1"/>
  <c r="U12" i="1"/>
  <c r="U13" i="1"/>
  <c r="U3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33" i="1"/>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33" i="1"/>
  <c r="S50" i="1"/>
  <c r="S57" i="1"/>
  <c r="S65" i="1"/>
  <c r="S73" i="1"/>
  <c r="S81" i="1"/>
  <c r="S82" i="1"/>
  <c r="S89" i="1"/>
  <c r="S97" i="1"/>
  <c r="S98" i="1"/>
  <c r="S105" i="1"/>
  <c r="S113" i="1"/>
  <c r="S121" i="1"/>
  <c r="S129" i="1"/>
  <c r="S137" i="1"/>
  <c r="T33"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X29" i="4" s="1" a="1"/>
  <c r="X29" i="4" s="1"/>
  <c r="G34" i="4"/>
  <c r="G39" i="4"/>
  <c r="H49" i="4"/>
  <c r="J56" i="4"/>
  <c r="E99" i="4"/>
  <c r="G25" i="4"/>
  <c r="H28" i="4"/>
  <c r="J35" i="4"/>
  <c r="G43" i="4"/>
  <c r="E54" i="4"/>
  <c r="G55" i="4"/>
  <c r="I71" i="4"/>
  <c r="O71" i="4" s="1"/>
  <c r="H70" i="4"/>
  <c r="H84" i="4"/>
  <c r="D30" i="4"/>
  <c r="E31" i="4"/>
  <c r="U31" i="4" s="1"/>
  <c r="D34" i="4"/>
  <c r="E39" i="4"/>
  <c r="J45" i="4"/>
  <c r="E58" i="4"/>
  <c r="F58" i="4" s="1"/>
  <c r="J79" i="4"/>
  <c r="V79" i="4" s="1" a="1"/>
  <c r="V79" i="4" s="1"/>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C13" i="14"/>
  <c r="C12" i="14"/>
  <c r="D12" i="14" s="1"/>
  <c r="C11" i="14"/>
  <c r="E11" i="14" s="1"/>
  <c r="C10" i="14"/>
  <c r="C25" i="14"/>
  <c r="D25" i="14" s="1"/>
  <c r="C24" i="14"/>
  <c r="D24" i="14" s="1"/>
  <c r="C23" i="14"/>
  <c r="E23" i="14" s="1"/>
  <c r="C22" i="14"/>
  <c r="C19" i="14"/>
  <c r="C18" i="14"/>
  <c r="D18" i="14" s="1"/>
  <c r="C21" i="14"/>
  <c r="E21" i="14" s="1"/>
  <c r="H32" i="4"/>
  <c r="J29" i="4"/>
  <c r="E28" i="4"/>
  <c r="F28" i="4" s="1"/>
  <c r="G24" i="4"/>
  <c r="E25" i="4"/>
  <c r="H30" i="4"/>
  <c r="J27" i="4"/>
  <c r="W27" i="4" s="1" a="1"/>
  <c r="W27" i="4" s="1"/>
  <c r="J33" i="4"/>
  <c r="N33" i="4" s="1"/>
  <c r="G28" i="4"/>
  <c r="I31" i="4"/>
  <c r="I26" i="4"/>
  <c r="P26" i="4" s="1"/>
  <c r="Q26" i="4" s="1"/>
  <c r="I34" i="4"/>
  <c r="P34" i="4" s="1"/>
  <c r="G31" i="4"/>
  <c r="I37" i="4"/>
  <c r="J39" i="4"/>
  <c r="V39" i="4" s="1" a="1"/>
  <c r="V39" i="4" s="1"/>
  <c r="G41" i="4"/>
  <c r="J47" i="4"/>
  <c r="J49" i="4"/>
  <c r="G54" i="4"/>
  <c r="I59" i="4"/>
  <c r="P59" i="4" s="1"/>
  <c r="Q59" i="4" s="1"/>
  <c r="E63" i="4"/>
  <c r="I50" i="4"/>
  <c r="I55" i="4"/>
  <c r="O55" i="4" s="1"/>
  <c r="J58" i="4"/>
  <c r="N58" i="4" s="1"/>
  <c r="J63" i="4"/>
  <c r="E68" i="4"/>
  <c r="H75" i="4"/>
  <c r="I51" i="4"/>
  <c r="P51" i="4" s="1"/>
  <c r="Q51" i="4" s="1"/>
  <c r="E56" i="4"/>
  <c r="I62" i="4"/>
  <c r="P62" i="4" s="1"/>
  <c r="Q62" i="4" s="1"/>
  <c r="J51" i="4"/>
  <c r="H58" i="4"/>
  <c r="J64" i="4"/>
  <c r="I70" i="4"/>
  <c r="G72" i="4"/>
  <c r="D77" i="4"/>
  <c r="Y77" i="4" s="1" a="1"/>
  <c r="Y77" i="4" s="1"/>
  <c r="E78" i="4"/>
  <c r="D84" i="4"/>
  <c r="Y84" i="4" s="1" a="1"/>
  <c r="Y84" i="4" s="1"/>
  <c r="G73" i="4"/>
  <c r="J73" i="4"/>
  <c r="N73" i="4" s="1"/>
  <c r="E76" i="4"/>
  <c r="E77" i="4"/>
  <c r="D88" i="4"/>
  <c r="Y88" i="4" s="1" a="1"/>
  <c r="Y88" i="4" s="1"/>
  <c r="J98" i="4"/>
  <c r="N98" i="4" s="1"/>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N104" i="4" s="1"/>
  <c r="J110" i="4"/>
  <c r="E112" i="4"/>
  <c r="J119" i="4"/>
  <c r="J120" i="4"/>
  <c r="I121" i="4"/>
  <c r="D124" i="4"/>
  <c r="D129" i="4"/>
  <c r="Y129" i="4" s="1" a="1"/>
  <c r="Y129" i="4" s="1"/>
  <c r="I131" i="4"/>
  <c r="X131" i="4" s="1" a="1"/>
  <c r="X131" i="4" s="1"/>
  <c r="J132" i="4"/>
  <c r="H133" i="4"/>
  <c r="E32" i="4"/>
  <c r="E36" i="4"/>
  <c r="J37" i="4"/>
  <c r="G40" i="4"/>
  <c r="D44" i="4"/>
  <c r="J53" i="4"/>
  <c r="X53" i="4" s="1" a="1"/>
  <c r="X53" i="4" s="1"/>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Y29" i="4" s="1" a="1"/>
  <c r="Y29" i="4" s="1"/>
  <c r="D101" i="4"/>
  <c r="Y101" i="4" s="1" a="1"/>
  <c r="Y101" i="4" s="1"/>
  <c r="H72" i="4"/>
  <c r="D58" i="4"/>
  <c r="Y58" i="4" s="1" a="1"/>
  <c r="Y58" i="4" s="1"/>
  <c r="D36" i="4"/>
  <c r="Y36" i="4" s="1" a="1"/>
  <c r="Y36" i="4" s="1"/>
  <c r="I110" i="4"/>
  <c r="P110" i="4" s="1"/>
  <c r="Q110" i="4" s="1"/>
  <c r="J69" i="4"/>
  <c r="V69" i="4" s="1" a="1"/>
  <c r="V69" i="4" s="1"/>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I32" i="4"/>
  <c r="H129" i="4"/>
  <c r="I119" i="4"/>
  <c r="O119" i="4" s="1"/>
  <c r="I104" i="4"/>
  <c r="E84" i="4"/>
  <c r="E81" i="4"/>
  <c r="H66" i="4"/>
  <c r="J122" i="4"/>
  <c r="E95" i="4"/>
  <c r="F95" i="4" s="1"/>
  <c r="J78" i="4"/>
  <c r="X78" i="4" s="1" a="1"/>
  <c r="X78" i="4" s="1"/>
  <c r="I48" i="4"/>
  <c r="X48" i="4" s="1" a="1"/>
  <c r="X48" i="4" s="1"/>
  <c r="J125" i="4"/>
  <c r="J109" i="4"/>
  <c r="I99" i="4"/>
  <c r="D86" i="4"/>
  <c r="Y86" i="4" s="1" a="1"/>
  <c r="Y86" i="4" s="1"/>
  <c r="E85" i="4"/>
  <c r="U85" i="4" s="1"/>
  <c r="G47" i="4"/>
  <c r="E46" i="4"/>
  <c r="J71" i="4"/>
  <c r="X71" i="4" s="1" a="1"/>
  <c r="X71" i="4" s="1"/>
  <c r="I61" i="4"/>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I85" i="4"/>
  <c r="H69" i="4"/>
  <c r="I49" i="4"/>
  <c r="W49" i="4" s="1" a="1"/>
  <c r="W49" i="4" s="1"/>
  <c r="J68" i="4"/>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V125" i="4" s="1" a="1"/>
  <c r="V125" i="4" s="1"/>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H45" i="4"/>
  <c r="G131" i="4"/>
  <c r="G122" i="4"/>
  <c r="J116" i="4"/>
  <c r="G111" i="4"/>
  <c r="I95" i="4"/>
  <c r="O95" i="4" s="1"/>
  <c r="D66" i="4"/>
  <c r="G59" i="4"/>
  <c r="E111" i="4"/>
  <c r="U111" i="4" s="1"/>
  <c r="E94" i="4"/>
  <c r="F94" i="4" s="1"/>
  <c r="G82" i="4"/>
  <c r="H48" i="4"/>
  <c r="J48" i="4"/>
  <c r="D32" i="4"/>
  <c r="N32" i="4" s="1"/>
  <c r="J115" i="4"/>
  <c r="N115" i="4" s="1"/>
  <c r="D106" i="4"/>
  <c r="Y106" i="4" s="1" a="1"/>
  <c r="Y106" i="4" s="1"/>
  <c r="E97" i="4"/>
  <c r="V97" i="4" s="1" a="1"/>
  <c r="V97" i="4" s="1"/>
  <c r="G95" i="4"/>
  <c r="J86" i="4"/>
  <c r="K86" i="4" s="1"/>
  <c r="L86" i="4" s="1"/>
  <c r="E79" i="4"/>
  <c r="D46" i="4"/>
  <c r="I87" i="4"/>
  <c r="I69" i="4"/>
  <c r="P69" i="4" s="1"/>
  <c r="Q69" i="4" s="1"/>
  <c r="I53" i="4"/>
  <c r="D126" i="4"/>
  <c r="Y126" i="4" s="1" a="1"/>
  <c r="Y126" i="4" s="1"/>
  <c r="E37" i="4"/>
  <c r="D56" i="4"/>
  <c r="Y56" i="4" s="1" a="1"/>
  <c r="Y56" i="4" s="1"/>
  <c r="D73" i="4"/>
  <c r="Y73" i="4" s="1" a="1"/>
  <c r="Y73" i="4" s="1"/>
  <c r="E80" i="4"/>
  <c r="V80" i="4" s="1" a="1"/>
  <c r="V80" i="4" s="1"/>
  <c r="H110" i="4"/>
  <c r="H41" i="4"/>
  <c r="J106" i="4"/>
  <c r="H106" i="4"/>
  <c r="E42" i="4"/>
  <c r="E82" i="4"/>
  <c r="F82" i="4" s="1"/>
  <c r="H29" i="4"/>
  <c r="D104" i="4"/>
  <c r="E131" i="4"/>
  <c r="D48" i="4"/>
  <c r="Y48" i="4" s="1" a="1"/>
  <c r="Y48" i="4" s="1"/>
  <c r="E106" i="4"/>
  <c r="V106" i="4" s="1" a="1"/>
  <c r="V106" i="4" s="1"/>
  <c r="D82" i="4"/>
  <c r="J46" i="4"/>
  <c r="K46" i="4" s="1"/>
  <c r="M46" i="4" s="1"/>
  <c r="D70" i="4"/>
  <c r="K70" i="4" s="1"/>
  <c r="D43" i="4"/>
  <c r="G75" i="4"/>
  <c r="E128" i="4"/>
  <c r="V128" i="4" s="1" a="1"/>
  <c r="V128" i="4" s="1"/>
  <c r="J127" i="4"/>
  <c r="V127" i="4" s="1" a="1"/>
  <c r="V127" i="4" s="1"/>
  <c r="D123" i="4"/>
  <c r="Y123" i="4" s="1" a="1"/>
  <c r="Y123" i="4" s="1"/>
  <c r="E132" i="4"/>
  <c r="U132" i="4" s="1"/>
  <c r="J131" i="4"/>
  <c r="E126" i="4"/>
  <c r="F126" i="4" s="1"/>
  <c r="H118" i="4"/>
  <c r="H108" i="4"/>
  <c r="E105" i="4"/>
  <c r="U105" i="4" s="1"/>
  <c r="E118" i="4"/>
  <c r="V118" i="4" s="1" a="1"/>
  <c r="V118" i="4" s="1"/>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N99" i="4" s="1"/>
  <c r="D91" i="4"/>
  <c r="Y91" i="4" s="1" a="1"/>
  <c r="Y91" i="4" s="1"/>
  <c r="I91" i="4"/>
  <c r="G102" i="4"/>
  <c r="D96" i="4"/>
  <c r="Y96" i="4" s="1" a="1"/>
  <c r="Y96" i="4" s="1"/>
  <c r="I81" i="4"/>
  <c r="I86" i="4"/>
  <c r="I94" i="4"/>
  <c r="G86" i="4"/>
  <c r="G77" i="4"/>
  <c r="I74" i="4"/>
  <c r="P74" i="4" s="1"/>
  <c r="Q74" i="4" s="1"/>
  <c r="J65" i="4"/>
  <c r="I73" i="4"/>
  <c r="O73" i="4" s="1"/>
  <c r="J67" i="4"/>
  <c r="E110" i="4"/>
  <c r="D116" i="4"/>
  <c r="Y116" i="4" s="1" a="1"/>
  <c r="Y116" i="4" s="1"/>
  <c r="H25" i="4"/>
  <c r="H52" i="4"/>
  <c r="D63" i="4"/>
  <c r="Y63" i="4" s="1" a="1"/>
  <c r="Y63" i="4" s="1"/>
  <c r="I96" i="4"/>
  <c r="W96" i="4" s="1" a="1"/>
  <c r="W96" i="4" s="1"/>
  <c r="J41" i="4"/>
  <c r="W41" i="4" s="1" a="1"/>
  <c r="W41" i="4" s="1"/>
  <c r="G129" i="4"/>
  <c r="D83" i="4"/>
  <c r="E47" i="4"/>
  <c r="U47" i="4" s="1"/>
  <c r="J130" i="4"/>
  <c r="X130" i="4" s="1" a="1"/>
  <c r="X130" i="4" s="1"/>
  <c r="E102" i="4"/>
  <c r="U102" i="4" s="1"/>
  <c r="H94" i="4"/>
  <c r="I57" i="4"/>
  <c r="G62" i="4"/>
  <c r="E38" i="4"/>
  <c r="F38" i="4" s="1"/>
  <c r="H71" i="4"/>
  <c r="H128" i="4"/>
  <c r="I128" i="4"/>
  <c r="X128" i="4" s="1" a="1"/>
  <c r="X128" i="4" s="1"/>
  <c r="G126" i="4"/>
  <c r="J126" i="4"/>
  <c r="H123" i="4"/>
  <c r="I132" i="4"/>
  <c r="P132" i="4" s="1"/>
  <c r="Q132" i="4" s="1"/>
  <c r="G130" i="4"/>
  <c r="I124" i="4"/>
  <c r="I117" i="4"/>
  <c r="W117" i="4" s="1" a="1"/>
  <c r="W117" i="4" s="1"/>
  <c r="J108" i="4"/>
  <c r="V108" i="4" s="1" a="1"/>
  <c r="V108" i="4" s="1"/>
  <c r="D105" i="4"/>
  <c r="Y105" i="4" s="1" a="1"/>
  <c r="Y105" i="4" s="1"/>
  <c r="I105" i="4"/>
  <c r="O105" i="4" s="1"/>
  <c r="I118" i="4"/>
  <c r="X118" i="4" s="1" a="1"/>
  <c r="X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J94" i="4"/>
  <c r="J129" i="4"/>
  <c r="K129" i="4" s="1"/>
  <c r="L129" i="4" s="1"/>
  <c r="I98" i="4"/>
  <c r="P98" i="4" s="1"/>
  <c r="Q98" i="4" s="1"/>
  <c r="E86" i="4"/>
  <c r="H46" i="4"/>
  <c r="I89" i="4"/>
  <c r="H60" i="4"/>
  <c r="H37" i="4"/>
  <c r="I127" i="4"/>
  <c r="D127" i="4"/>
  <c r="Y127" i="4" s="1" a="1"/>
  <c r="Y127" i="4" s="1"/>
  <c r="E123" i="4"/>
  <c r="V123" i="4" s="1" a="1"/>
  <c r="V123" i="4" s="1"/>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K91" i="4" s="1"/>
  <c r="I106" i="4"/>
  <c r="P106" i="4" s="1"/>
  <c r="Q106" i="4" s="1"/>
  <c r="H100" i="4"/>
  <c r="J96" i="4"/>
  <c r="H88" i="4"/>
  <c r="H81" i="4"/>
  <c r="H90" i="4"/>
  <c r="E88" i="4"/>
  <c r="G90" i="4"/>
  <c r="I77" i="4"/>
  <c r="I76" i="4"/>
  <c r="P76" i="4" s="1"/>
  <c r="Q76" i="4" s="1"/>
  <c r="G74" i="4"/>
  <c r="G65" i="4"/>
  <c r="I65" i="4"/>
  <c r="G67" i="4"/>
  <c r="I67" i="4"/>
  <c r="W67" i="4" s="1" a="1"/>
  <c r="W67" i="4" s="1"/>
  <c r="G32" i="4"/>
  <c r="G29" i="4"/>
  <c r="H27" i="4"/>
  <c r="G33" i="4"/>
  <c r="I25" i="4"/>
  <c r="P25" i="4" s="1"/>
  <c r="Q25" i="4" s="1"/>
  <c r="G30" i="4"/>
  <c r="G27" i="4"/>
  <c r="E33" i="4"/>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K60" i="4" s="1"/>
  <c r="J66" i="4"/>
  <c r="K66" i="4" s="1"/>
  <c r="M66" i="4" s="1"/>
  <c r="E70" i="4"/>
  <c r="U70" i="4" s="1"/>
  <c r="H73" i="4"/>
  <c r="J77" i="4"/>
  <c r="G83" i="4"/>
  <c r="E73" i="4"/>
  <c r="E74" i="4"/>
  <c r="H77" i="4"/>
  <c r="D90" i="4"/>
  <c r="Y90" i="4" s="1" a="1"/>
  <c r="Y90" i="4" s="1"/>
  <c r="J81" i="4"/>
  <c r="X81" i="4" s="1" a="1"/>
  <c r="X81" i="4" s="1"/>
  <c r="E91" i="4"/>
  <c r="H99" i="4"/>
  <c r="I122" i="4"/>
  <c r="X122" i="4" s="1" a="1"/>
  <c r="X122" i="4" s="1"/>
  <c r="H131" i="4"/>
  <c r="I126" i="4"/>
  <c r="P126" i="4" s="1"/>
  <c r="Q126" i="4" s="1"/>
  <c r="D74" i="4"/>
  <c r="Y74" i="4" s="1" a="1"/>
  <c r="Y74" i="4" s="1"/>
  <c r="E109" i="4"/>
  <c r="U109" i="4" s="1"/>
  <c r="G57" i="4"/>
  <c r="E53" i="4"/>
  <c r="I83" i="4"/>
  <c r="H76" i="4"/>
  <c r="C7" i="14"/>
  <c r="D33" i="4"/>
  <c r="Y33" i="4" s="1" a="1"/>
  <c r="Y33" i="4" s="1"/>
  <c r="I30" i="4"/>
  <c r="P30" i="4" s="1"/>
  <c r="Q30" i="4" s="1"/>
  <c r="E29" i="4"/>
  <c r="F29" i="4" s="1"/>
  <c r="D25" i="4"/>
  <c r="J25" i="4"/>
  <c r="K25" i="4" s="1"/>
  <c r="H33" i="4"/>
  <c r="I28" i="4"/>
  <c r="P28" i="4" s="1"/>
  <c r="Q28" i="4" s="1"/>
  <c r="E27" i="4"/>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G60" i="4"/>
  <c r="G66" i="4"/>
  <c r="J54" i="4"/>
  <c r="K54" i="4" s="1"/>
  <c r="H56" i="4"/>
  <c r="I60" i="4"/>
  <c r="I66" i="4"/>
  <c r="E71" i="4"/>
  <c r="F71" i="4" s="1"/>
  <c r="H79" i="4"/>
  <c r="G51" i="4"/>
  <c r="G63" i="4"/>
  <c r="I52" i="4"/>
  <c r="O52" i="4" s="1"/>
  <c r="H54" i="4"/>
  <c r="H62" i="4"/>
  <c r="I72" i="4"/>
  <c r="W72" i="4" s="1" a="1"/>
  <c r="W72" i="4" s="1"/>
  <c r="G78" i="4"/>
  <c r="J84" i="4"/>
  <c r="K84" i="4" s="1"/>
  <c r="D67" i="4"/>
  <c r="Y67" i="4" s="1" a="1"/>
  <c r="Y67" i="4" s="1"/>
  <c r="D65" i="4"/>
  <c r="Y65" i="4" s="1" a="1"/>
  <c r="Y65" i="4" s="1"/>
  <c r="J90" i="4"/>
  <c r="K90" i="4" s="1"/>
  <c r="L90" i="4" s="1"/>
  <c r="D81" i="4"/>
  <c r="Y81" i="4" s="1" a="1"/>
  <c r="Y81" i="4" s="1"/>
  <c r="H96" i="4"/>
  <c r="J100" i="4"/>
  <c r="K100" i="4" s="1"/>
  <c r="H91" i="4"/>
  <c r="E100" i="4"/>
  <c r="F100" i="4" s="1"/>
  <c r="I93" i="4"/>
  <c r="I114" i="4"/>
  <c r="O114" i="4" s="1"/>
  <c r="I103" i="4"/>
  <c r="X103" i="4" s="1" a="1"/>
  <c r="X103" i="4" s="1"/>
  <c r="H117" i="4"/>
  <c r="D108" i="4"/>
  <c r="Y108" i="4" s="1" a="1"/>
  <c r="Y108" i="4" s="1"/>
  <c r="I46" i="4"/>
  <c r="O46" i="4" s="1"/>
  <c r="I79" i="4"/>
  <c r="X79" i="4" s="1" a="1"/>
  <c r="X79" i="4" s="1"/>
  <c r="G112" i="4"/>
  <c r="J55" i="4"/>
  <c r="K55" i="4" s="1"/>
  <c r="M55" i="4" s="1"/>
  <c r="K45" i="4"/>
  <c r="M45" i="4" s="1"/>
  <c r="O113" i="4"/>
  <c r="R113" i="4" s="1" a="1"/>
  <c r="R113" i="4" s="1"/>
  <c r="K122" i="4"/>
  <c r="M122" i="4" s="1"/>
  <c r="O101" i="4"/>
  <c r="S101" i="4" s="1" a="1"/>
  <c r="S101" i="4" s="1"/>
  <c r="K30" i="4"/>
  <c r="C9" i="14"/>
  <c r="E9" i="14" s="1"/>
  <c r="F24" i="4"/>
  <c r="N63" i="4"/>
  <c r="F102" i="4"/>
  <c r="K75" i="4"/>
  <c r="U101" i="4"/>
  <c r="X101" i="4" a="1"/>
  <c r="X101" i="4" s="1"/>
  <c r="K106" i="4"/>
  <c r="M106" i="4" s="1"/>
  <c r="K118" i="4"/>
  <c r="V101" i="4" a="1"/>
  <c r="V101" i="4" s="1"/>
  <c r="U95" i="4"/>
  <c r="W101" i="4" a="1"/>
  <c r="W101" i="4" s="1"/>
  <c r="N106" i="4"/>
  <c r="W125" i="4" a="1"/>
  <c r="W125" i="4" s="1"/>
  <c r="K125" i="4"/>
  <c r="M125" i="4" s="1"/>
  <c r="V38" i="4" a="1"/>
  <c r="V38" i="4" s="1"/>
  <c r="Y45" i="4" a="1"/>
  <c r="Y45" i="4" s="1"/>
  <c r="Y43" i="4" a="1"/>
  <c r="Y43" i="4" s="1"/>
  <c r="Y46" i="4" a="1"/>
  <c r="Y46" i="4" s="1"/>
  <c r="Y98" i="4" a="1"/>
  <c r="Y98" i="4" s="1"/>
  <c r="O32" i="4"/>
  <c r="U106" i="4"/>
  <c r="F85" i="4"/>
  <c r="P53" i="4"/>
  <c r="Q53" i="4" s="1"/>
  <c r="O104" i="4"/>
  <c r="P133" i="4"/>
  <c r="Q133" i="4" s="1"/>
  <c r="C6" i="14"/>
  <c r="D6" i="14" s="1"/>
  <c r="E22" i="14"/>
  <c r="D22" i="14"/>
  <c r="E19" i="14"/>
  <c r="D19" i="14"/>
  <c r="E13" i="14"/>
  <c r="D13" i="14"/>
  <c r="E10" i="14"/>
  <c r="D10" i="14"/>
  <c r="E7" i="14"/>
  <c r="D7" i="14"/>
  <c r="D23" i="14"/>
  <c r="E20" i="14"/>
  <c r="D20" i="14"/>
  <c r="E17" i="14"/>
  <c r="E14" i="14"/>
  <c r="D14" i="14"/>
  <c r="D8" i="14"/>
  <c r="E24" i="14"/>
  <c r="E18" i="14"/>
  <c r="D9" i="14"/>
  <c r="E25" i="14"/>
  <c r="U38" i="4"/>
  <c r="N82" i="4"/>
  <c r="F97" i="4"/>
  <c r="F111" i="4"/>
  <c r="X125" i="4" a="1"/>
  <c r="X125" i="4" s="1"/>
  <c r="W129" i="4" a="1"/>
  <c r="W129" i="4" s="1"/>
  <c r="W82" i="4" a="1"/>
  <c r="W82" i="4" s="1"/>
  <c r="O133" i="4"/>
  <c r="W133" i="4" a="1"/>
  <c r="W133" i="4" s="1"/>
  <c r="O53" i="4"/>
  <c r="N122" i="4"/>
  <c r="F86" i="4"/>
  <c r="U86" i="4"/>
  <c r="O61" i="4"/>
  <c r="X61" i="4" a="1"/>
  <c r="X61" i="4" s="1"/>
  <c r="P61" i="4"/>
  <c r="Q61" i="4" s="1"/>
  <c r="W61" i="4" a="1"/>
  <c r="W61" i="4" s="1"/>
  <c r="P104" i="4"/>
  <c r="Q104" i="4" s="1"/>
  <c r="W38" i="4" a="1"/>
  <c r="W38" i="4" s="1"/>
  <c r="X38" i="4" a="1"/>
  <c r="X38" i="4" s="1"/>
  <c r="O39" i="4"/>
  <c r="F50" i="4"/>
  <c r="O62" i="4"/>
  <c r="P70" i="4"/>
  <c r="Q70" i="4" s="1"/>
  <c r="O70" i="4"/>
  <c r="F72" i="4"/>
  <c r="U72" i="4"/>
  <c r="U78" i="4"/>
  <c r="F78" i="4"/>
  <c r="P67" i="4"/>
  <c r="Q67" i="4" s="1"/>
  <c r="X67" i="4" a="1"/>
  <c r="X67" i="4" s="1"/>
  <c r="V76" i="4" a="1"/>
  <c r="V76" i="4" s="1"/>
  <c r="F76" i="4"/>
  <c r="U76" i="4"/>
  <c r="O86" i="4"/>
  <c r="P91" i="4"/>
  <c r="Q91" i="4" s="1"/>
  <c r="W91" i="4" a="1"/>
  <c r="W91" i="4" s="1"/>
  <c r="O91" i="4"/>
  <c r="F122" i="4"/>
  <c r="O118" i="4"/>
  <c r="O116" i="4"/>
  <c r="P116" i="4"/>
  <c r="Q116" i="4" s="1"/>
  <c r="W116" i="4" a="1"/>
  <c r="W116" i="4" s="1"/>
  <c r="F132" i="4"/>
  <c r="U128" i="4"/>
  <c r="P37" i="4"/>
  <c r="W37" i="4" a="1"/>
  <c r="W37" i="4" s="1"/>
  <c r="O37" i="4"/>
  <c r="F39" i="4"/>
  <c r="U39" i="4"/>
  <c r="P58" i="4"/>
  <c r="Q58" i="4" s="1"/>
  <c r="V57" i="4" a="1"/>
  <c r="V57" i="4" s="1"/>
  <c r="U62" i="4"/>
  <c r="V64" i="4" a="1"/>
  <c r="V64" i="4" s="1"/>
  <c r="X117" i="4" a="1"/>
  <c r="X117" i="4" s="1"/>
  <c r="O124" i="4"/>
  <c r="P124" i="4"/>
  <c r="Q124" i="4" s="1"/>
  <c r="F35" i="4"/>
  <c r="F54" i="4"/>
  <c r="U54" i="4"/>
  <c r="U63" i="4"/>
  <c r="F63" i="4"/>
  <c r="V63" i="4" a="1"/>
  <c r="V63" i="4" s="1"/>
  <c r="U55" i="4"/>
  <c r="F68" i="4"/>
  <c r="U68" i="4"/>
  <c r="V68" i="4" a="1"/>
  <c r="V68" i="4" s="1"/>
  <c r="F73" i="4"/>
  <c r="U73" i="4"/>
  <c r="O74" i="4"/>
  <c r="F77" i="4"/>
  <c r="U77" i="4"/>
  <c r="P81" i="4"/>
  <c r="Q81" i="4" s="1"/>
  <c r="W81" i="4" a="1"/>
  <c r="W81" i="4" s="1"/>
  <c r="O81" i="4"/>
  <c r="N81" i="4"/>
  <c r="X84" i="4" a="1"/>
  <c r="X84" i="4" s="1"/>
  <c r="U100" i="4"/>
  <c r="S102" i="4" a="1"/>
  <c r="S102" i="4" s="1"/>
  <c r="R102" i="4" a="1"/>
  <c r="R102" i="4" s="1"/>
  <c r="N113" i="4"/>
  <c r="V96" i="4" a="1"/>
  <c r="V96" i="4" s="1"/>
  <c r="N103" i="4"/>
  <c r="S104" i="4" a="1"/>
  <c r="S104" i="4" s="1"/>
  <c r="P105" i="4"/>
  <c r="Q105" i="4" s="1"/>
  <c r="W105" i="4" a="1"/>
  <c r="W105" i="4" s="1"/>
  <c r="X105" i="4" a="1"/>
  <c r="X105" i="4" s="1"/>
  <c r="N105" i="4"/>
  <c r="F127" i="4"/>
  <c r="U127" i="4"/>
  <c r="M123" i="4"/>
  <c r="N123" i="4"/>
  <c r="V113" i="4" a="1"/>
  <c r="V113" i="4" s="1"/>
  <c r="O126" i="4"/>
  <c r="W126" i="4" a="1"/>
  <c r="W126" i="4" s="1"/>
  <c r="N126" i="4"/>
  <c r="O45" i="4"/>
  <c r="W45" i="4" a="1"/>
  <c r="W45" i="4" s="1"/>
  <c r="P45" i="4"/>
  <c r="Q45" i="4" s="1"/>
  <c r="O50" i="4"/>
  <c r="P50" i="4"/>
  <c r="Q50" i="4" s="1"/>
  <c r="U56" i="4"/>
  <c r="F56" i="4"/>
  <c r="U52" i="4"/>
  <c r="F52" i="4"/>
  <c r="V52" i="4" a="1"/>
  <c r="V52" i="4" s="1"/>
  <c r="O78" i="4"/>
  <c r="P78" i="4"/>
  <c r="Q78" i="4" s="1"/>
  <c r="L84" i="4"/>
  <c r="N84" i="4"/>
  <c r="F74" i="4"/>
  <c r="U74" i="4"/>
  <c r="X94" i="4" a="1"/>
  <c r="X94" i="4" s="1"/>
  <c r="F88" i="4"/>
  <c r="U88" i="4"/>
  <c r="V88" i="4" a="1"/>
  <c r="V88" i="4" s="1"/>
  <c r="V116" i="4" a="1"/>
  <c r="V116" i="4" s="1"/>
  <c r="V105" i="4" a="1"/>
  <c r="V105" i="4" s="1"/>
  <c r="X121" i="4" a="1"/>
  <c r="X121" i="4" s="1"/>
  <c r="P127" i="4"/>
  <c r="Q127" i="4" s="1"/>
  <c r="O127" i="4"/>
  <c r="N29" i="4"/>
  <c r="X27" i="4" a="1"/>
  <c r="X27" i="4" s="1"/>
  <c r="P27" i="4"/>
  <c r="Q27" i="4" s="1"/>
  <c r="O27" i="4"/>
  <c r="O30" i="4"/>
  <c r="W25" i="4" a="1"/>
  <c r="W25" i="4" s="1"/>
  <c r="O25" i="4"/>
  <c r="X25" i="4" a="1"/>
  <c r="X25" i="4" s="1"/>
  <c r="U33" i="4"/>
  <c r="F33" i="4"/>
  <c r="P33" i="4"/>
  <c r="Q33" i="4" s="1"/>
  <c r="P31" i="4"/>
  <c r="O31" i="4"/>
  <c r="N30" i="4"/>
  <c r="M30" i="4"/>
  <c r="N25" i="4"/>
  <c r="U25" i="4"/>
  <c r="V25" i="4" a="1"/>
  <c r="V25" i="4" s="1"/>
  <c r="F25" i="4"/>
  <c r="U27" i="4"/>
  <c r="F27" i="4"/>
  <c r="F26"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K33" i="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G9" i="6" s="1" a="1"/>
  <c r="G9" i="6" s="1"/>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W63" i="4" l="1" a="1"/>
  <c r="W63" i="4" s="1"/>
  <c r="L60" i="4"/>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T102" i="4"/>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M36" i="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L25" i="4"/>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M35" i="4"/>
  <c r="X124" i="4" a="1"/>
  <c r="X124" i="4" s="1"/>
  <c r="S113" i="4" a="1"/>
  <c r="S113" i="4" s="1"/>
  <c r="T113" i="4" s="1"/>
  <c r="U93" i="4"/>
  <c r="X77" i="4" a="1"/>
  <c r="X77" i="4" s="1"/>
  <c r="N67" i="4"/>
  <c r="F70" i="4"/>
  <c r="P60" i="4"/>
  <c r="Q60" i="4" s="1"/>
  <c r="P55" i="4"/>
  <c r="Q55" i="4" s="1"/>
  <c r="O58" i="4"/>
  <c r="S58" i="4" s="1" a="1"/>
  <c r="S58" i="4" s="1"/>
  <c r="T58" i="4" s="1"/>
  <c r="P41" i="4"/>
  <c r="Q41" i="4" s="1"/>
  <c r="V132" i="4" a="1"/>
  <c r="V132" i="4" s="1"/>
  <c r="P118" i="4"/>
  <c r="Q118" i="4" s="1"/>
  <c r="V122" i="4" a="1"/>
  <c r="V122" i="4" s="1"/>
  <c r="N93" i="4"/>
  <c r="M91"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T101" i="4"/>
  <c r="W32" i="4" a="1"/>
  <c r="W32" i="4" s="1"/>
  <c r="K88" i="4"/>
  <c r="W110" i="4" a="1"/>
  <c r="W110" i="4" s="1"/>
  <c r="N118" i="4"/>
  <c r="F106" i="4"/>
  <c r="N110" i="4"/>
  <c r="L45" i="4"/>
  <c r="M60" i="4"/>
  <c r="K72" i="4"/>
  <c r="K6" i="4"/>
  <c r="M6" i="4" s="1"/>
  <c r="M75" i="4"/>
  <c r="K85" i="4"/>
  <c r="M85" i="4" s="1"/>
  <c r="L82" i="4"/>
  <c r="L48" i="4"/>
  <c r="K22" i="4"/>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55" i="4"/>
  <c r="L125" i="4"/>
  <c r="O93" i="4"/>
  <c r="R93" i="4" s="1" a="1"/>
  <c r="R93" i="4" s="1"/>
  <c r="S98" i="4" a="1"/>
  <c r="S98" i="4" s="1"/>
  <c r="T98"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M131" i="4"/>
  <c r="R95" i="4" a="1"/>
  <c r="R95" i="4" s="1"/>
  <c r="S95" i="4" a="1"/>
  <c r="S95" i="4" s="1"/>
  <c r="T95" i="4" s="1"/>
  <c r="R61" i="4" a="1"/>
  <c r="R61" i="4" s="1"/>
  <c r="S61" i="4" a="1"/>
  <c r="S61" i="4" s="1"/>
  <c r="T61" i="4" s="1"/>
  <c r="R53" i="4" a="1"/>
  <c r="R53" i="4" s="1"/>
  <c r="S53" i="4" a="1"/>
  <c r="S53" i="4" s="1"/>
  <c r="T53" i="4" s="1"/>
  <c r="R133" i="4" a="1"/>
  <c r="R133" i="4" s="1"/>
  <c r="S133" i="4" a="1"/>
  <c r="S133" i="4" s="1"/>
  <c r="T133" i="4" s="1"/>
  <c r="R87" i="4" a="1"/>
  <c r="R87" i="4" s="1"/>
  <c r="V21" i="4" a="1"/>
  <c r="V21" i="4" s="1"/>
  <c r="M120" i="4"/>
  <c r="L120" i="4"/>
  <c r="R89" i="4" a="1"/>
  <c r="R89" i="4" s="1"/>
  <c r="S82" i="4" a="1"/>
  <c r="S82" i="4" s="1"/>
  <c r="T82" i="4" s="1"/>
  <c r="M25" i="4"/>
  <c r="S46" i="4" a="1"/>
  <c r="S46" i="4" s="1"/>
  <c r="T46" i="4" s="1"/>
  <c r="R46" i="4" a="1"/>
  <c r="R46" i="4" s="1"/>
  <c r="S127" i="4" a="1"/>
  <c r="S127" i="4" s="1"/>
  <c r="T127" i="4" s="1"/>
  <c r="R127" i="4" a="1"/>
  <c r="R127" i="4" s="1"/>
  <c r="S122" i="4" a="1"/>
  <c r="S122" i="4" s="1"/>
  <c r="T122" i="4" s="1"/>
  <c r="R122" i="4" a="1"/>
  <c r="R122" i="4" s="1"/>
  <c r="R50" i="4" a="1"/>
  <c r="R50" i="4" s="1"/>
  <c r="S50" i="4" a="1"/>
  <c r="S50" i="4" s="1"/>
  <c r="T50" i="4" s="1"/>
  <c r="R35" i="4" a="1"/>
  <c r="R35" i="4" s="1"/>
  <c r="S35" i="4" a="1"/>
  <c r="S35" i="4" s="1"/>
  <c r="T35" i="4" s="1"/>
  <c r="R58" i="4" a="1"/>
  <c r="R58" i="4" s="1"/>
  <c r="M111" i="4"/>
  <c r="S91" i="4" a="1"/>
  <c r="S91" i="4" s="1"/>
  <c r="T91" i="4" s="1"/>
  <c r="R91" i="4" a="1"/>
  <c r="R91" i="4" s="1"/>
  <c r="R106" i="4" a="1"/>
  <c r="R106" i="4" s="1"/>
  <c r="S106" i="4" a="1"/>
  <c r="S106" i="4" s="1"/>
  <c r="T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43" i="4" a="1"/>
  <c r="R43" i="4" s="1"/>
  <c r="R37" i="4" a="1"/>
  <c r="R37" i="4" s="1"/>
  <c r="S37" i="4" a="1"/>
  <c r="S37" i="4" s="1"/>
  <c r="T37" i="4" s="1"/>
  <c r="R118" i="4" a="1"/>
  <c r="R118" i="4" s="1"/>
  <c r="S118" i="4" a="1"/>
  <c r="S118" i="4" s="1"/>
  <c r="T118" i="4" s="1"/>
  <c r="M103" i="4"/>
  <c r="S39" i="4" a="1"/>
  <c r="S39" i="4" s="1"/>
  <c r="R39" i="4" a="1"/>
  <c r="R39" i="4" s="1"/>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S81" i="4" a="1"/>
  <c r="S81" i="4" s="1"/>
  <c r="T81" i="4" s="1"/>
  <c r="R81" i="4" a="1"/>
  <c r="R81" i="4" s="1"/>
  <c r="M84" i="4"/>
  <c r="S60" i="4" a="1"/>
  <c r="S60" i="4" s="1"/>
  <c r="T60" i="4" s="1"/>
  <c r="S41" i="4" a="1"/>
  <c r="S41" i="4" s="1"/>
  <c r="T41" i="4" s="1"/>
  <c r="R41" i="4" a="1"/>
  <c r="R41" i="4" s="1"/>
  <c r="S116" i="4" a="1"/>
  <c r="S116" i="4" s="1"/>
  <c r="T116" i="4" s="1"/>
  <c r="R116" i="4" a="1"/>
  <c r="R116" i="4" s="1"/>
  <c r="M113" i="4"/>
  <c r="S70" i="4" a="1"/>
  <c r="S70" i="4" s="1"/>
  <c r="T70" i="4" s="1"/>
  <c r="R70" i="4" a="1"/>
  <c r="R70" i="4" s="1"/>
  <c r="S62" i="4" a="1"/>
  <c r="S62" i="4" s="1"/>
  <c r="T62" i="4" s="1"/>
  <c r="R62" i="4" a="1"/>
  <c r="R62" i="4" s="1"/>
  <c r="M33" i="4"/>
  <c r="R100" i="4" a="1"/>
  <c r="R100" i="4" s="1"/>
  <c r="S45" i="4" a="1"/>
  <c r="S45" i="4" s="1"/>
  <c r="T45" i="4" s="1"/>
  <c r="R45" i="4" a="1"/>
  <c r="R45" i="4" s="1"/>
  <c r="S52" i="4" a="1"/>
  <c r="S52" i="4" s="1"/>
  <c r="T52" i="4" s="1"/>
  <c r="R52" i="4" a="1"/>
  <c r="R52" i="4" s="1"/>
  <c r="R51" i="4" a="1"/>
  <c r="R51"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M7" i="4"/>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M22" i="4"/>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U9" i="8" s="1" a="1"/>
  <c r="U9" i="8" s="1"/>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L22" i="4"/>
  <c r="O22" i="4"/>
  <c r="N4" i="4"/>
  <c r="N22" i="4"/>
  <c r="N10" i="4"/>
  <c r="N5" i="4"/>
  <c r="D4" i="8"/>
  <c r="N17" i="4"/>
  <c r="N16" i="4"/>
  <c r="N6" i="4"/>
  <c r="N23" i="4"/>
  <c r="N18" i="4"/>
  <c r="N12" i="4"/>
  <c r="N7" i="4"/>
  <c r="N13" i="4"/>
  <c r="N21" i="4"/>
  <c r="N8" i="4"/>
  <c r="N14" i="4"/>
  <c r="N9" i="4"/>
  <c r="L4" i="4"/>
  <c r="L7" i="4"/>
  <c r="L23" i="4"/>
  <c r="L8" i="4"/>
  <c r="L115" i="4" l="1"/>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M117" i="4"/>
  <c r="M104" i="4"/>
  <c r="S84" i="4" a="1"/>
  <c r="S84" i="4" s="1"/>
  <c r="T84" i="4" s="1"/>
  <c r="R84" i="4" a="1"/>
  <c r="R84" i="4" s="1"/>
  <c r="M20" i="4"/>
  <c r="E8" i="6" s="1" a="1"/>
  <c r="E8" i="6" s="1"/>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O9" i="8" a="1"/>
  <c r="O9" i="8" s="1"/>
  <c r="K11" i="8" a="1"/>
  <c r="K11" i="8" s="1"/>
  <c r="L12" i="8" a="1"/>
  <c r="L12" i="8" s="1"/>
  <c r="T12" i="8" s="1" a="1"/>
  <c r="T12" i="8" s="1"/>
  <c r="K16" i="8" a="1"/>
  <c r="K16" i="8" s="1"/>
  <c r="O20" i="8" a="1"/>
  <c r="O20" i="8" s="1"/>
  <c r="O4" i="8" a="1"/>
  <c r="O4" i="8" s="1"/>
  <c r="O19" i="8" a="1"/>
  <c r="O19" i="8" s="1"/>
  <c r="L14" i="8" a="1"/>
  <c r="L14" i="8" s="1"/>
  <c r="K18" i="8" a="1"/>
  <c r="K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S13" i="8" s="1" a="1"/>
  <c r="S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16" i="8" a="1"/>
  <c r="T16" i="8"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S18" i="8" a="1"/>
  <c r="S18" i="8" s="1"/>
  <c r="J22" i="8" a="1"/>
  <c r="J22" i="8" s="1"/>
  <c r="J20" i="8" a="1"/>
  <c r="J20" i="8" s="1"/>
  <c r="J13" i="8" a="1"/>
  <c r="J13" i="8" s="1"/>
  <c r="R13" i="8" s="1" a="1"/>
  <c r="R13" i="8" s="1"/>
  <c r="J19" i="8" a="1"/>
  <c r="J19" i="8" s="1"/>
  <c r="R19" i="8" s="1" a="1"/>
  <c r="R19" i="8" s="1"/>
  <c r="J11" i="8" a="1"/>
  <c r="J11" i="8" s="1"/>
  <c r="S5" i="8" a="1"/>
  <c r="S5"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23" i="6" l="1"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U4" i="8" l="1"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8" i="8" l="1"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<sst xmlns="http://schemas.openxmlformats.org/spreadsheetml/2006/main" count="279" uniqueCount="205">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</sst>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topLeftCell="E1" zoomScale="70" zoomScaleNormal="70" workbookViewId="0">
      <selection activeCell="O37" sqref="O37"/>
    </sheetView>
  </sheetViews>
  <sheetFormatPr defaultRowHeight="15.45"/>
  <cols>
    <col min="1" max="1" width="2.5625" customWidth="1"/>
    <col min="2" max="2" width="6.25" customWidth="1"/>
    <col min="3" max="3" width="17.6875" customWidth="1"/>
    <col min="4" max="6" width="26"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108</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200</v>
      </c>
      <c r="D12" s="8" t="s">
        <v>201</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135</v>
      </c>
      <c r="D14" s="9" t="s">
        <v>136</v>
      </c>
      <c r="E14" s="28" t="s">
        <v>202</v>
      </c>
      <c r="F14" s="7" t="str">
        <f t="shared" si="0"/>
        <v>WorkingTimePlanMstEntity</v>
      </c>
      <c r="I14" s="5">
        <f>ROW(InputValueObjects[[#This Row],[VONo]])-10</f>
        <v>4</v>
      </c>
      <c r="J14" s="8">
        <v>2</v>
      </c>
      <c r="K14" s="5" t="str">
        <f>_xlfn.XLOOKUP(InputValueObjects[[#This Row],[EntityNo]],InputEntities[ENo],InputEntities[Entity],"",0,1)</f>
        <v>WorkerGroupMstEntity</v>
      </c>
      <c r="L14" s="8" t="s">
        <v>203</v>
      </c>
      <c r="M14" s="8" t="s">
        <v>138</v>
      </c>
      <c r="N14" s="8">
        <v>1</v>
      </c>
      <c r="O14" s="8">
        <v>1</v>
      </c>
      <c r="P14" s="8" t="s">
        <v>89</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c r="B15" s="36">
        <f>ROW(InputEntities[[#This Row],[ENo]])-10</f>
        <v>5</v>
      </c>
      <c r="C15" s="9" t="s">
        <v>170</v>
      </c>
      <c r="D15" s="9" t="s">
        <v>171</v>
      </c>
      <c r="E15" s="28" t="s">
        <v>192</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204</v>
      </c>
      <c r="M15" s="8" t="s">
        <v>140</v>
      </c>
      <c r="N15" s="8"/>
      <c r="O15" s="8">
        <v>1</v>
      </c>
      <c r="P15" s="8" t="s">
        <v>89</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c r="B19" s="36">
        <f>ROW(InputEntities[[#This Row],[ENo]])-10</f>
        <v>9</v>
      </c>
      <c r="C19" s="9"/>
      <c r="D19" s="9"/>
      <c r="E19" s="37"/>
      <c r="F19" s="7" t="str">
        <f t="shared" si="2"/>
        <v/>
      </c>
      <c r="I19" s="5">
        <f>ROW(InputValueObjects[[#This Row],[VONo]])-10</f>
        <v>9</v>
      </c>
      <c r="J19" s="8"/>
      <c r="K19" s="5" t="str">
        <f>_xlfn.XLOOKUP(InputValueObjects[[#This Row],[EntityNo]],InputEntities[ENo],InputEntities[Entity],"",0,1)</f>
        <v/>
      </c>
      <c r="L19" s="8"/>
      <c r="M19" s="8"/>
      <c r="N19" s="8"/>
      <c r="O19" s="8"/>
      <c r="P19" s="8"/>
      <c r="Q19" s="5" t="str">
        <f>SUBSTITUTE(PROPER(InputValueObjects[[#This Row],[DBカラム_物理名]]),"_","")</f>
        <v/>
      </c>
      <c r="R19" s="8"/>
      <c r="S19" s="5" t="str">
        <f>InputValueObjects[[#This Row],[ValueObject_ベース]]</f>
        <v/>
      </c>
      <c r="T19" s="5" t="str">
        <f>IF(InputValueObjects[[#This Row],[ValueObject_修正]]="",SUBSTITUTE(PROPER(InputValueObjects[[#This Row],[DBカラム_物理名]]),"_",""),InputValueObjects[[#This Row],[ValueObject_修正]])</f>
        <v/>
      </c>
      <c r="U19" s="5" t="str">
        <f>IF(InputValueObjects[[#This Row],[型_ベース]]="","",InputValueObjects[[#This Row],[型_ベース]]&amp;IF(InputValueObjects[[#This Row],[NotNull]]=1,"","?"))</f>
        <v/>
      </c>
    </row>
    <row r="20" spans="2:21">
      <c r="B20" s="36">
        <f>ROW(InputEntities[[#This Row],[ENo]])-10</f>
        <v>10</v>
      </c>
      <c r="C20" s="9"/>
      <c r="D20" s="9"/>
      <c r="E20" s="37"/>
      <c r="F20" s="7" t="str">
        <f t="shared" si="2"/>
        <v/>
      </c>
      <c r="I20" s="5">
        <f>ROW(InputValueObjects[[#This Row],[VONo]])-10</f>
        <v>10</v>
      </c>
      <c r="J20" s="8">
        <v>4</v>
      </c>
      <c r="K20" s="5" t="str">
        <f>_xlfn.XLOOKUP(InputValueObjects[[#This Row],[EntityNo]],InputEntities[ENo],InputEntities[Entity],"",0,1)</f>
        <v>WorkingTimePlanMstEntity</v>
      </c>
      <c r="L20" s="8" t="s">
        <v>141</v>
      </c>
      <c r="M20" s="8" t="s">
        <v>138</v>
      </c>
      <c r="N20" s="8">
        <v>1</v>
      </c>
      <c r="O20" s="8">
        <v>1</v>
      </c>
      <c r="P20" s="8" t="s">
        <v>89</v>
      </c>
      <c r="Q20" s="5" t="str">
        <f>SUBSTITUTE(PROPER(InputValueObjects[[#This Row],[DBカラム_物理名]]),"_","")</f>
        <v>WorkerCode</v>
      </c>
      <c r="R20" s="8"/>
      <c r="S20" s="5" t="str">
        <f>InputValueObjects[[#This Row],[ValueObject_ベース]]</f>
        <v>WorkerCode</v>
      </c>
      <c r="T20" s="5" t="str">
        <f>IF(InputValueObjects[[#This Row],[ValueObject_修正]]="",SUBSTITUTE(PROPER(InputValueObjects[[#This Row],[DBカラム_物理名]]),"_",""),InputValueObjects[[#This Row],[ValueObject_修正]])</f>
        <v>WorkerCode</v>
      </c>
      <c r="U20" s="5" t="str">
        <f>IF(InputValueObjects[[#This Row],[型_ベース]]="","",InputValueObjects[[#This Row],[型_ベース]]&amp;IF(InputValueObjects[[#This Row],[NotNull]]=1,"","?"))</f>
        <v>string</v>
      </c>
    </row>
    <row r="21" spans="2:21">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142</v>
      </c>
      <c r="M21" s="8" t="s">
        <v>143</v>
      </c>
      <c r="N21" s="8">
        <v>2</v>
      </c>
      <c r="O21" s="8">
        <v>1</v>
      </c>
      <c r="P21" s="8" t="s">
        <v>144</v>
      </c>
      <c r="Q21" s="5" t="str">
        <f>SUBSTITUTE(PROPER(InputValueObjects[[#This Row],[DBカラム_物理名]]),"_","")</f>
        <v>Weekday</v>
      </c>
      <c r="R21" s="8"/>
      <c r="S21" s="5" t="str">
        <f>InputValueObjects[[#This Row],[ValueObject_ベース]]</f>
        <v>Weekday</v>
      </c>
      <c r="T21" s="5" t="str">
        <f>IF(InputValueObjects[[#This Row],[ValueObject_修正]]="",SUBSTITUTE(PROPER(InputValueObjects[[#This Row],[DBカラム_物理名]]),"_",""),InputValueObjects[[#This Row],[ValueObject_修正]])</f>
        <v>Weekday</v>
      </c>
      <c r="U21" s="5" t="str">
        <f>IF(InputValueObjects[[#This Row],[型_ベース]]="","",InputValueObjects[[#This Row],[型_ベース]]&amp;IF(InputValueObjects[[#This Row],[NotNull]]=1,"","?"))</f>
        <v>int</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145</v>
      </c>
      <c r="M22" s="8" t="s">
        <v>146</v>
      </c>
      <c r="N22" s="8"/>
      <c r="O22" s="8"/>
      <c r="P22" s="8" t="s">
        <v>147</v>
      </c>
      <c r="Q22" s="5" t="str">
        <f>SUBSTITUTE(PROPER(InputValueObjects[[#This Row],[DBカラム_物理名]]),"_","")</f>
        <v>WorkingTime</v>
      </c>
      <c r="R22" s="8"/>
      <c r="S22" s="5" t="str">
        <f>InputValueObjects[[#This Row],[ValueObject_ベース]]</f>
        <v>WorkingTime</v>
      </c>
      <c r="T22" s="5" t="str">
        <f>IF(InputValueObjects[[#This Row],[ValueObject_修正]]="",SUBSTITUTE(PROPER(InputValueObjects[[#This Row],[DBカラム_物理名]]),"_",""),InputValueObjects[[#This Row],[ValueObject_修正]])</f>
        <v>WorkingTime</v>
      </c>
      <c r="U22" s="5" t="str">
        <f>IF(InputValueObjects[[#This Row],[型_ベース]]="","",InputValueObjects[[#This Row],[型_ベース]]&amp;IF(InputValueObjects[[#This Row],[NotNull]]=1,"","?"))</f>
        <v>float?</v>
      </c>
    </row>
    <row r="23" spans="2:21">
      <c r="B23" s="36">
        <f>ROW(InputEntities[[#This Row],[ENo]])-10</f>
        <v>13</v>
      </c>
      <c r="C23" s="9"/>
      <c r="D23" s="9"/>
      <c r="E23" s="37"/>
      <c r="F23" s="7" t="str">
        <f t="shared" si="2"/>
        <v/>
      </c>
      <c r="I23" s="5">
        <f>ROW(InputValueObjects[[#This Row],[VONo]])-10</f>
        <v>13</v>
      </c>
      <c r="J23" s="8"/>
      <c r="K23" s="5" t="str">
        <f>_xlfn.XLOOKUP(InputValueObjects[[#This Row],[EntityNo]],InputEntities[ENo],InputEntities[Entity],"",0,1)</f>
        <v/>
      </c>
      <c r="L23" s="8"/>
      <c r="M23" s="8"/>
      <c r="N23" s="8"/>
      <c r="O23" s="8"/>
      <c r="P23" s="8"/>
      <c r="Q23" s="5" t="str">
        <f>SUBSTITUTE(PROPER(InputValueObjects[[#This Row],[DBカラム_物理名]]),"_","")</f>
        <v/>
      </c>
      <c r="R23" s="8"/>
      <c r="S23" s="5" t="str">
        <f>InputValueObjects[[#This Row],[ValueObject_ベース]]</f>
        <v/>
      </c>
      <c r="T23" s="5" t="str">
        <f>IF(InputValueObjects[[#This Row],[ValueObject_修正]]="",SUBSTITUTE(PROPER(InputValueObjects[[#This Row],[DBカラム_物理名]]),"_",""),InputValueObjects[[#This Row],[ValueObject_修正]])</f>
        <v/>
      </c>
      <c r="U23" s="5" t="str">
        <f>IF(InputValueObjects[[#This Row],[型_ベース]]="","",InputValueObjects[[#This Row],[型_ベース]]&amp;IF(InputValueObjects[[#This Row],[NotNull]]=1,"","?"))</f>
        <v/>
      </c>
    </row>
    <row r="24" spans="2:21">
      <c r="B24" s="36">
        <f>ROW(InputEntities[[#This Row],[ENo]])-10</f>
        <v>14</v>
      </c>
      <c r="C24" s="9"/>
      <c r="D24" s="9"/>
      <c r="E24" s="37"/>
      <c r="F24" s="7" t="str">
        <f t="shared" si="2"/>
        <v/>
      </c>
      <c r="I24" s="16">
        <f>ROW(InputValueObjects[[#This Row],[VONo]])-10</f>
        <v>14</v>
      </c>
      <c r="J24" s="8">
        <v>5</v>
      </c>
      <c r="K24" s="16" t="str">
        <f>_xlfn.XLOOKUP(InputValueObjects[[#This Row],[EntityNo]],InputEntities[ENo],InputEntities[Entity],"",0,1)</f>
        <v>PageMstEntity</v>
      </c>
      <c r="L24" s="9" t="s">
        <v>172</v>
      </c>
      <c r="M24" s="9" t="s">
        <v>173</v>
      </c>
      <c r="N24" s="9">
        <v>1</v>
      </c>
      <c r="O24" s="9">
        <v>1</v>
      </c>
      <c r="P24" s="9" t="s">
        <v>144</v>
      </c>
      <c r="Q24" s="16" t="str">
        <f>SUBSTITUTE(PROPER(InputValueObjects[[#This Row],[DBカラム_物理名]]),"_","")</f>
        <v>PageId</v>
      </c>
      <c r="R24" s="9"/>
      <c r="S24" s="16" t="str">
        <f>InputValueObjects[[#This Row],[ValueObject_ベース]]</f>
        <v>PageId</v>
      </c>
      <c r="T24" s="5" t="str">
        <f>IF(InputValueObjects[[#This Row],[ValueObject_修正]]="",SUBSTITUTE(PROPER(InputValueObjects[[#This Row],[DBカラム_物理名]]),"_",""),InputValueObjects[[#This Row],[ValueObject_修正]])</f>
        <v>PageId</v>
      </c>
      <c r="U24" s="5" t="str">
        <f>IF(InputValueObjects[[#This Row],[型_ベース]]="","",InputValueObjects[[#This Row],[型_ベース]]&amp;IF(InputValueObjects[[#This Row],[NotNull]]=1,"","?"))</f>
        <v>int</v>
      </c>
    </row>
    <row r="25" spans="2:21">
      <c r="B25" s="36">
        <f>ROW(InputEntities[[#This Row],[ENo]])-10</f>
        <v>15</v>
      </c>
      <c r="C25" s="9"/>
      <c r="D25" s="9"/>
      <c r="E25" s="37"/>
      <c r="F25" s="7" t="str">
        <f t="shared" si="2"/>
        <v/>
      </c>
      <c r="I25" s="5">
        <f>ROW(InputValueObjects[[#This Row],[VONo]])-10</f>
        <v>15</v>
      </c>
      <c r="J25" s="8">
        <v>5</v>
      </c>
      <c r="K25" s="5" t="str">
        <f>_xlfn.XLOOKUP(InputValueObjects[[#This Row],[EntityNo]],InputEntities[ENo],InputEntities[Entity],"",0,1)</f>
        <v>PageMstEntity</v>
      </c>
      <c r="L25" s="8" t="s">
        <v>174</v>
      </c>
      <c r="M25" s="8" t="s">
        <v>175</v>
      </c>
      <c r="N25" s="8"/>
      <c r="O25" s="8">
        <v>1</v>
      </c>
      <c r="P25" s="8" t="s">
        <v>89</v>
      </c>
      <c r="Q25" s="5" t="str">
        <f>SUBSTITUTE(PROPER(InputValueObjects[[#This Row],[DBカラム_物理名]]),"_","")</f>
        <v>PageName</v>
      </c>
      <c r="R25" s="8"/>
      <c r="S25" s="5" t="str">
        <f>InputValueObjects[[#This Row],[ValueObject_ベース]]</f>
        <v>PageName</v>
      </c>
      <c r="T25" s="5" t="str">
        <f>IF(InputValueObjects[[#This Row],[ValueObject_修正]]="",SUBSTITUTE(PROPER(InputValueObjects[[#This Row],[DBカラム_物理名]]),"_",""),InputValueObjects[[#This Row],[ValueObject_修正]])</f>
        <v>PageName</v>
      </c>
      <c r="U25" s="5" t="str">
        <f>IF(InputValueObjects[[#This Row],[型_ベース]]="","",InputValueObjects[[#This Row],[型_ベース]]&amp;IF(InputValueObjects[[#This Row],[NotNull]]=1,"","?"))</f>
        <v>string</v>
      </c>
    </row>
    <row r="26" spans="2:21">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176</v>
      </c>
      <c r="M26" s="8" t="s">
        <v>177</v>
      </c>
      <c r="N26" s="8"/>
      <c r="O26" s="8"/>
      <c r="P26" s="8" t="s">
        <v>89</v>
      </c>
      <c r="Q26" s="5" t="str">
        <f>SUBSTITUTE(PROPER(InputValueObjects[[#This Row],[DBカラム_物理名]]),"_","")</f>
        <v>MovieLink</v>
      </c>
      <c r="R26" s="8"/>
      <c r="S26" s="5" t="str">
        <f>InputValueObjects[[#This Row],[ValueObject_ベース]]</f>
        <v>MovieLink</v>
      </c>
      <c r="T26" s="5" t="str">
        <f>IF(InputValueObjects[[#This Row],[ValueObject_修正]]="",SUBSTITUTE(PROPER(InputValueObjects[[#This Row],[DBカラム_物理名]]),"_",""),InputValueObjects[[#This Row],[ValueObject_修正]])</f>
        <v>MovieLink</v>
      </c>
      <c r="U26" s="5" t="str">
        <f>IF(InputValueObjects[[#This Row],[型_ベース]]="","",InputValueObjects[[#This Row],[型_ベース]]&amp;IF(InputValueObjects[[#This Row],[NotNull]]=1,"","?"))</f>
        <v>string?</v>
      </c>
    </row>
    <row r="27" spans="2:21">
      <c r="B27" s="36">
        <f>ROW(InputEntities[[#This Row],[ENo]])-10</f>
        <v>17</v>
      </c>
      <c r="C27" s="9"/>
      <c r="D27" s="9"/>
      <c r="E27" s="37"/>
      <c r="F27" s="7" t="str">
        <f t="shared" si="2"/>
        <v/>
      </c>
      <c r="I27" s="16">
        <f>ROW(InputValueObjects[[#This Row],[VONo]])-10</f>
        <v>17</v>
      </c>
      <c r="J27" s="8">
        <v>5</v>
      </c>
      <c r="K27" s="16" t="str">
        <f>_xlfn.XLOOKUP(InputValueObjects[[#This Row],[EntityNo]],InputEntities[ENo],InputEntities[Entity],"",0,1)</f>
        <v>PageMstEntity</v>
      </c>
      <c r="L27" s="9" t="s">
        <v>193</v>
      </c>
      <c r="M27" s="9" t="s">
        <v>194</v>
      </c>
      <c r="N27" s="9"/>
      <c r="O27" s="9"/>
      <c r="P27" s="8" t="s">
        <v>89</v>
      </c>
      <c r="Q27" s="5" t="str">
        <f>SUBSTITUTE(PROPER(InputValueObjects[[#This Row],[DBカラム_物理名]]),"_","")</f>
        <v>ImageFolderLink</v>
      </c>
      <c r="R27" s="8"/>
      <c r="S27" s="5" t="str">
        <f>InputValueObjects[[#This Row],[ValueObject_ベース]]</f>
        <v>ImageFolderLink</v>
      </c>
      <c r="T27" s="5" t="str">
        <f>IF(InputValueObjects[[#This Row],[ValueObject_修正]]="",SUBSTITUTE(PROPER(InputValueObjects[[#This Row],[DBカラム_物理名]]),"_",""),InputValueObjects[[#This Row],[ValueObject_修正]])</f>
        <v>ImageFolderLink</v>
      </c>
      <c r="U27" s="5"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5</v>
      </c>
      <c r="K28" s="5" t="str">
        <f>_xlfn.XLOOKUP(InputValueObjects[[#This Row],[EntityNo]],InputEntities[ENo],InputEntities[Entity],"",0,1)</f>
        <v>PageMstEntity</v>
      </c>
      <c r="L28" s="8" t="s">
        <v>178</v>
      </c>
      <c r="M28" s="8" t="s">
        <v>179</v>
      </c>
      <c r="N28" s="8"/>
      <c r="O28" s="8"/>
      <c r="P28" s="8" t="s">
        <v>144</v>
      </c>
      <c r="Q28" s="5" t="str">
        <f>SUBSTITUTE(PROPER(InputValueObjects[[#This Row],[DBカラム_物理名]]),"_","")</f>
        <v>ImagePageNo</v>
      </c>
      <c r="R28" s="8"/>
      <c r="S28" s="5" t="str">
        <f>InputValueObjects[[#This Row],[ValueObject_ベース]]</f>
        <v>ImagePageNo</v>
      </c>
      <c r="T28" s="5" t="str">
        <f>IF(InputValueObjects[[#This Row],[ValueObject_修正]]="",SUBSTITUTE(PROPER(InputValueObjects[[#This Row],[DBカラム_物理名]]),"_",""),InputValueObjects[[#This Row],[ValueObject_修正]])</f>
        <v>ImagePageNo</v>
      </c>
      <c r="U28" s="5" t="str">
        <f>IF(InputValueObjects[[#This Row],[型_ベース]]="","",InputValueObjects[[#This Row],[型_ベース]]&amp;IF(InputValueObjects[[#This Row],[NotNull]]=1,"","?"))</f>
        <v>int?</v>
      </c>
    </row>
    <row r="29" spans="2:21">
      <c r="B29" s="36">
        <f>ROW(InputEntities[[#This Row],[ENo]])-10</f>
        <v>19</v>
      </c>
      <c r="C29" s="9"/>
      <c r="D29" s="9"/>
      <c r="E29" s="37"/>
      <c r="F29" s="7" t="str">
        <f t="shared" si="2"/>
        <v/>
      </c>
      <c r="I29" s="16">
        <f>ROW(InputValueObjects[[#This Row],[VONo]])-10</f>
        <v>19</v>
      </c>
      <c r="J29" s="8">
        <v>5</v>
      </c>
      <c r="K29" s="16" t="str">
        <f>_xlfn.XLOOKUP(InputValueObjects[[#This Row],[EntityNo]],InputEntities[ENo],InputEntities[Entity],"",0,1)</f>
        <v>PageMstEntity</v>
      </c>
      <c r="L29" s="9" t="s">
        <v>180</v>
      </c>
      <c r="M29" s="9" t="s">
        <v>181</v>
      </c>
      <c r="N29" s="9"/>
      <c r="O29" s="9">
        <v>1</v>
      </c>
      <c r="P29" s="9" t="s">
        <v>147</v>
      </c>
      <c r="Q29" s="16" t="str">
        <f>SUBSTITUTE(PROPER(InputValueObjects[[#This Row],[DBカラム_物理名]]),"_","")</f>
        <v>SlideWaitingTime</v>
      </c>
      <c r="R29" s="9"/>
      <c r="S29" s="16" t="str">
        <f>InputValueObjects[[#This Row],[ValueObject_ベース]]</f>
        <v>SlideWaitingTime</v>
      </c>
      <c r="T29" s="5" t="str">
        <f>IF(InputValueObjects[[#This Row],[ValueObject_修正]]="",SUBSTITUTE(PROPER(InputValueObjects[[#This Row],[DBカラム_物理名]]),"_",""),InputValueObjects[[#This Row],[ValueObject_修正]])</f>
        <v>SlideWaitingTime</v>
      </c>
      <c r="U29" s="5" t="str">
        <f>IF(InputValueObjects[[#This Row],[型_ベース]]="","",InputValueObjects[[#This Row],[型_ベース]]&amp;IF(InputValueObjects[[#This Row],[NotNull]]=1,"","?"))</f>
        <v>float</v>
      </c>
    </row>
    <row r="30" spans="2:21">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182</v>
      </c>
      <c r="M30" s="9" t="s">
        <v>183</v>
      </c>
      <c r="N30" s="9"/>
      <c r="O30" s="9"/>
      <c r="P30" s="9" t="s">
        <v>89</v>
      </c>
      <c r="Q30" s="16" t="str">
        <f>SUBSTITUTE(PROPER(InputValueObjects[[#This Row],[DBカラム_物理名]]),"_","")</f>
        <v>Note1</v>
      </c>
      <c r="R30" s="9" t="s">
        <v>188</v>
      </c>
      <c r="S30" s="16" t="str">
        <f>InputValueObjects[[#This Row],[ValueObject_ベース]]</f>
        <v>Note1</v>
      </c>
      <c r="T30" s="16" t="str">
        <f>IF(InputValueObjects[[#This Row],[ValueObject_修正]]="",SUBSTITUTE(PROPER(InputValueObjects[[#This Row],[DBカラム_物理名]]),"_",""),InputValueObjects[[#This Row],[ValueObject_修正]])</f>
        <v>Note</v>
      </c>
      <c r="U30" s="16" t="str">
        <f>IF(InputValueObjects[[#This Row],[型_ベース]]="","",InputValueObjects[[#This Row],[型_ベース]]&amp;IF(InputValueObjects[[#This Row],[NotNull]]=1,"","?"))</f>
        <v>string?</v>
      </c>
    </row>
    <row r="31" spans="2:21">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184</v>
      </c>
      <c r="M31" s="9" t="s">
        <v>185</v>
      </c>
      <c r="N31" s="9"/>
      <c r="O31" s="9"/>
      <c r="P31" s="9" t="s">
        <v>89</v>
      </c>
      <c r="Q31" s="16" t="str">
        <f>SUBSTITUTE(PROPER(InputValueObjects[[#This Row],[DBカラム_物理名]]),"_","")</f>
        <v>Note2</v>
      </c>
      <c r="R31" s="9" t="s">
        <v>188</v>
      </c>
      <c r="S31" s="16" t="str">
        <f>InputValueObjects[[#This Row],[ValueObject_ベース]]</f>
        <v>Note2</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186</v>
      </c>
      <c r="M32" s="9" t="s">
        <v>187</v>
      </c>
      <c r="N32" s="9"/>
      <c r="O32" s="9"/>
      <c r="P32" s="9" t="s">
        <v>89</v>
      </c>
      <c r="Q32" s="16" t="str">
        <f>SUBSTITUTE(PROPER(InputValueObjects[[#This Row],[DBカラム_物理名]]),"_","")</f>
        <v>Note3</v>
      </c>
      <c r="R32" s="9" t="s">
        <v>188</v>
      </c>
      <c r="S32" s="16" t="str">
        <f>InputValueObjects[[#This Row],[ValueObject_ベース]]</f>
        <v>Note3</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92</v>
      </c>
      <c r="C1" t="s">
        <v>40</v>
      </c>
    </row>
    <row r="2" spans="1:3">
      <c r="A2" t="s">
        <v>12</v>
      </c>
      <c r="B2" t="s">
        <v>93</v>
      </c>
      <c r="C2" t="s">
        <v>41</v>
      </c>
    </row>
    <row r="3" spans="1:3">
      <c r="A3" t="s">
        <v>13</v>
      </c>
      <c r="B3" t="s">
        <v>94</v>
      </c>
      <c r="C3" t="s">
        <v>42</v>
      </c>
    </row>
    <row r="4" spans="1:3">
      <c r="A4" t="s">
        <v>14</v>
      </c>
      <c r="B4" t="s">
        <v>95</v>
      </c>
      <c r="C4" t="s">
        <v>43</v>
      </c>
    </row>
    <row r="5" spans="1: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C4" sqref="C4"/>
    </sheetView>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167</v>
      </c>
    </row>
    <row r="3" spans="1:6">
      <c r="B3" s="2" t="s">
        <v>154</v>
      </c>
      <c r="C3" s="3" t="s">
        <v>189</v>
      </c>
    </row>
    <row r="6" spans="1:6">
      <c r="B6" t="s">
        <v>155</v>
      </c>
      <c r="C6" t="s">
        <v>164</v>
      </c>
      <c r="D6" t="s">
        <v>165</v>
      </c>
      <c r="E6" t="s">
        <v>156</v>
      </c>
      <c r="F6" t="s">
        <v>157</v>
      </c>
    </row>
    <row r="7" spans="1:6" ht="20.05" customHeight="1">
      <c r="B7" s="48" t="s">
        <v>158</v>
      </c>
      <c r="C7" s="48" t="s">
        <v>15</v>
      </c>
      <c r="D7" s="48" t="s">
        <v>15</v>
      </c>
      <c r="E7" s="48" t="str">
        <f>ValueObject[[#Headers],[ValueObject]]</f>
        <v>ValueObject</v>
      </c>
      <c r="F7" s="48" t="str">
        <f>ValueObject[[#Headers],[ValueObjectコード]]</f>
        <v>ValueObjectコード</v>
      </c>
    </row>
    <row r="8" spans="1:6" ht="20.05" customHeight="1">
      <c r="B8" s="48" t="s">
        <v>159</v>
      </c>
      <c r="C8" s="48" t="s">
        <v>7</v>
      </c>
      <c r="D8" s="48" t="s">
        <v>7</v>
      </c>
      <c r="E8" s="48" t="str">
        <f>Entity[[#Headers],[Entity]]</f>
        <v>Entity</v>
      </c>
      <c r="F8" s="48" t="str">
        <f>Entity[[#Headers],[Entity(get)コード]]</f>
        <v>Entity(get)コード</v>
      </c>
    </row>
    <row r="9" spans="1:6" ht="20.05" customHeight="1">
      <c r="B9" s="48" t="s">
        <v>160</v>
      </c>
      <c r="C9" s="48" t="s">
        <v>166</v>
      </c>
      <c r="D9" s="48" t="s">
        <v>166</v>
      </c>
      <c r="E9" s="48" t="str">
        <f>IRepository[[#Headers],[IRepository]]</f>
        <v>IRepository</v>
      </c>
      <c r="F9" s="48" t="str">
        <f>IRepository[[#Headers],[IRepositoryコード]]</f>
        <v>IRepositoryコード</v>
      </c>
    </row>
    <row r="10" spans="1:6" ht="20.05" customHeight="1">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45"/>
  <cols>
    <col min="2" max="2" width="10.5625" bestFit="1" customWidth="1"/>
    <col min="3" max="3" width="59.4375" bestFit="1" customWidth="1"/>
  </cols>
  <sheetData>
    <row r="1" spans="1:3">
      <c r="A1" t="s">
        <v>103</v>
      </c>
      <c r="B1" t="s">
        <v>105</v>
      </c>
      <c r="C1" t="s">
        <v>104</v>
      </c>
    </row>
    <row r="2" spans="1:3">
      <c r="A2" t="s">
        <v>106</v>
      </c>
      <c r="B2" s="42">
        <v>44925</v>
      </c>
      <c r="C2" t="s">
        <v>107</v>
      </c>
    </row>
    <row r="3" spans="1:3">
      <c r="A3" t="s">
        <v>116</v>
      </c>
      <c r="B3" s="42">
        <v>44934</v>
      </c>
      <c r="C3" t="s">
        <v>117</v>
      </c>
    </row>
    <row r="4" spans="1:3">
      <c r="A4" t="s">
        <v>131</v>
      </c>
      <c r="B4" s="42">
        <v>44934</v>
      </c>
      <c r="C4" t="s">
        <v>132</v>
      </c>
    </row>
    <row r="5" spans="1:3">
      <c r="A5" t="s">
        <v>148</v>
      </c>
      <c r="B5" s="42">
        <v>44940</v>
      </c>
      <c r="C5" t="s">
        <v>149</v>
      </c>
    </row>
    <row r="6" spans="1:3" ht="30.9">
      <c r="A6" t="s">
        <v>153</v>
      </c>
      <c r="B6" s="42">
        <v>44952</v>
      </c>
      <c r="C6" s="47" t="s">
        <v>163</v>
      </c>
    </row>
    <row r="7" spans="1:3">
      <c r="A7" t="s">
        <v>168</v>
      </c>
      <c r="B7" s="42">
        <v>44954</v>
      </c>
      <c r="C7" t="s">
        <v>169</v>
      </c>
    </row>
    <row r="8" spans="1:3">
      <c r="A8" t="s">
        <v>190</v>
      </c>
      <c r="B8" s="42">
        <v>44955</v>
      </c>
      <c r="C8" t="s">
        <v>191</v>
      </c>
    </row>
    <row r="9" spans="1:3">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WorkerCode</v>
      </c>
      <c r="K7" s="21" t="str">
        <f>REPLACE(ValueObject[[#This Row],[Entity_プロパティ]],1,1,LOWER(LEFT(ValueObject[[#This Row],[ValueObject]])))</f>
        <v>workerCode</v>
      </c>
      <c r="L7" s="21" t="str">
        <f>ValueObject[[#This Row],[型]]&amp;" "&amp;ValueObject[[#This Row],[変数_VO]]</f>
        <v>string 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Entity.WorkerCode.Value;</v>
      </c>
      <c r="X7" s="19" t="str" cm="1">
        <f t="array" ref="X7">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WorkerName</v>
      </c>
      <c r="K8" s="21" t="str">
        <f>REPLACE(ValueObject[[#This Row],[Entity_プロパティ]],1,1,LOWER(LEFT(ValueObject[[#This Row],[ValueObject]])))</f>
        <v>workerName</v>
      </c>
      <c r="L8" s="21" t="str">
        <f>ValueObject[[#This Row],[型]]&amp;" "&amp;ValueObject[[#This Row],[変数_VO]]</f>
        <v>string 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Entity.WorkerName.Value;</v>
      </c>
      <c r="X8" s="19" t="str" cm="1">
        <f t="array" ref="X8">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
      </c>
      <c r="D12" s="21" t="str">
        <f>_xlfn.XLOOKUP(ValueObject[[#This Row],[VONo]],InputValueObjects[VONo],InputValueObjects[ValueObject],"",0,1)</f>
        <v/>
      </c>
      <c r="E12" s="21">
        <f>_xlfn.XLOOKUP(ValueObject[[#This Row],[VONo]],InputValueObjects[VONo],InputValueObjects[DBカラム_物理名],"",0,1)</f>
        <v>0</v>
      </c>
      <c r="F12" s="19" t="str">
        <f>"@"&amp;ValueObject[[#This Row],[DBテーブル_物理名]]</f>
        <v>@0</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
      </c>
      <c r="J12" s="21" t="str">
        <f>_xlfn.XLOOKUP(ValueObject[[#This Row],[VONo]],InputValueObjects[VONo],InputValueObjects[Entity_プロパティ],"",0,1)</f>
        <v/>
      </c>
      <c r="K12" s="21" t="str">
        <f>REPLACE(ValueObject[[#This Row],[Entity_プロパティ]],1,1,LOWER(LEFT(ValueObject[[#This Row],[ValueObject]])))</f>
        <v/>
      </c>
      <c r="L12" s="21" t="str">
        <f>ValueObject[[#This Row],[型]]&amp;" "&amp;ValueObject[[#This Row],[変数_VO]]</f>
        <v xml:space="preserve"> </v>
      </c>
      <c r="M12" s="21" t="str">
        <f>ValueObject[[#This Row],[Entity_プロパティ]]&amp;" = new "&amp;ValueObject[[#This Row],[ValueObject]]&amp;"("&amp;ValueObject[[#This Row],[変数_VO]]&amp;");"</f>
        <v xml:space="preserve"> = new ();</v>
      </c>
      <c r="N12" s="21" t="str">
        <f>"public "&amp;ValueObject[[#This Row],[ValueObject]]&amp;" "&amp;ValueObject[[#This Row],[Entity_プロパティ]]&amp;" { get; }"</f>
        <v>public   { get; }</v>
      </c>
      <c r="O12" s="21" t="str">
        <f>_xlfn.XLOOKUP(SUBSTITUTE(ValueObject[[#This Row],[型]],"?",""),Types[型],Types[Convert],"",,1)</f>
        <v/>
      </c>
      <c r="P12" s="21" t="str">
        <f>_xlfn.XLOOKUP(SUBSTITUTE(ValueObject[[#This Row],[型]],"?",""),Types[型],Types[型_SQLite],"",0,1)</f>
        <v/>
      </c>
      <c r="Q12" s="21" t="str">
        <f>IF(ValueObject[[#This Row],[SQLite_型]]="","",ValueObject[[#This Row],[DBテーブル_物理名]]&amp;" "&amp;ValueObject[[#This Row],[SQLite_型]])</f>
        <v/>
      </c>
      <c r="R12" s="19" t="str" cm="1">
        <f t="array" ref="R12">SUBSTITUTE(SUBSTITUTE(Templates[Repository_Entity_Args_NotNull],"__Convert__",ValueObject[[#This Row],[Convert]]),"__TableColumn__",ValueObject[[#This Row],[DBテーブル_物理名]])</f>
        <v>(reader["0"])</v>
      </c>
      <c r="S12" s="19" t="str" cm="1">
        <f t="array" ref="S12">SUBSTITUTE(SUBSTITUTE(Templates[Repository_Entity_Args_Null],"__Convert__",ValueObject[[#This Row],[Convert]]),"__TableColumn__",ValueObject[[#This Row],[DBテーブル_物理名]])</f>
        <v>reader["0"] != DBNull.Value ? (reader["0"]) : null</v>
      </c>
      <c r="T12" s="19" t="str">
        <f>IF(ValueObject[[#This Row],[NotNull]]=1,ValueObject[[#This Row],[Repository_Entity_Args_NotNull]],ValueObject[[#This Row],[Repository_Entity_Args_Null]])</f>
        <v>reader["0"] != DBNull.Value ? (reader["0"]) : null</v>
      </c>
      <c r="U12" s="19" t="str">
        <f>ValueObject[[#This Row],[DBテーブル_物理名]]&amp;" = @"&amp;ValueObject[[#This Row],[DBテーブル_物理名]]</f>
        <v>0 = @0</v>
      </c>
      <c r="V12" s="19" t="str" cm="1">
        <f t="array" ref="V12">SUBSTITUTE(SUBSTITUTE(Templates[SQLiteParameter_Args],"__Column__",ValueObject[[#This Row],[DBテーブル_物理名]]),"__VO__",ValueObject[[#This Row],[Entity_プロパティ]])</f>
        <v>new SQLiteParameter("@0", entity..Value)</v>
      </c>
      <c r="W12" s="19" t="str" cm="1">
        <f t="array" ref="W12">SUBSTITUTE(SUBSTITUTE(Templates[ViewModelEntity_Property_get],"__Type__",ValueObject[[#This Row],[型]]),"__EntityProperty__",ValueObject[[#This Row],[Entity_プロパティ]])</f>
        <v xml:space="preserve">        public   =&gt; Entity..Value;</v>
      </c>
      <c r="X12" s="19" t="str" cm="1">
        <f t="array" ref="X12">SUBSTITUTE(SUBSTITUTE(Templates[ViewModelEntity_Property_getset],"__Type__",ValueObject[[#This Row],[型]]),"__EntityProperty__",ValueObject[[#This Row],[Entity_プロパティ]])</f>
        <v xml:space="preserve">       public   
        {
            get { return Entity..Value; }
            set { Entity. = new (value); }
        }</v>
      </c>
      <c r="Y12" s="19" t="str" cm="1">
        <f t="array" ref="Y12">IF(ValueObject[[#This Row],[ValueObject]]="","",SUBSTITUTE(SUBSTITUTE(SUBSTITUTE(Templates[ValueObject],"__SN__",'1_インプット'!$D$3),"__VO__",ValueObject[[#This Row],[ValueObject]]),"__VOType__",ValueObject[[#This Row],[型]]))</f>
        <v/>
      </c>
    </row>
    <row r="13" spans="1:25" ht="20.05" customHeight="1">
      <c r="B13" s="20">
        <f>ROW(ValueObject[[#This Row],[VONo]])-3</f>
        <v>10</v>
      </c>
      <c r="C13" s="21" t="str">
        <f>_xlfn.XLOOKUP(ValueObject[[#This Row],[VONo]],InputValueObjects[VONo],InputValueObjects[Entity],"",0,1)</f>
        <v>WorkingTimePlanMstEntity</v>
      </c>
      <c r="D13" s="21" t="str">
        <f>_xlfn.XLOOKUP(ValueObject[[#This Row],[VONo]],InputValueObjects[VONo],InputValueObjects[ValueObject],"",0,1)</f>
        <v>WorkerCode</v>
      </c>
      <c r="E13" s="21" t="str">
        <f>_xlfn.XLOOKUP(ValueObject[[#This Row],[VONo]],InputValueObjects[VONo],InputValueObjects[DBカラム_物理名],"",0,1)</f>
        <v>worker_code</v>
      </c>
      <c r="F13" s="19" t="str">
        <f>"@"&amp;ValueObject[[#This Row],[DBテーブル_物理名]]</f>
        <v>@worker_code</v>
      </c>
      <c r="G13" s="21">
        <f>_xlfn.XLOOKUP(ValueObject[[#This Row],[VONo]],InputValueObjects[VONo],InputValueObjects[PK],"",0,1)</f>
        <v>1</v>
      </c>
      <c r="H13" s="21">
        <f>_xlfn.XLOOKUP(ValueObject[[#This Row],[VONo]],InputValueObjects[VONo],InputValueObjects[NotNull],"",0,1)</f>
        <v>1</v>
      </c>
      <c r="I13" s="21" t="str">
        <f>_xlfn.XLOOKUP(ValueObject[[#This Row],[VONo]],InputValueObjects[VONo],InputValueObjects[型],"",0,1)</f>
        <v>string</v>
      </c>
      <c r="J13" s="21" t="str">
        <f>_xlfn.XLOOKUP(ValueObject[[#This Row],[VONo]],InputValueObjects[VONo],InputValueObjects[Entity_プロパティ],"",0,1)</f>
        <v>WorkerCode</v>
      </c>
      <c r="K13" s="21" t="str">
        <f>REPLACE(ValueObject[[#This Row],[Entity_プロパティ]],1,1,LOWER(LEFT(ValueObject[[#This Row],[ValueObject]])))</f>
        <v>workerCode</v>
      </c>
      <c r="L13" s="21" t="str">
        <f>ValueObject[[#This Row],[型]]&amp;" "&amp;ValueObject[[#This Row],[変数_VO]]</f>
        <v>string workerCode</v>
      </c>
      <c r="M13" s="21" t="str">
        <f>ValueObject[[#This Row],[Entity_プロパティ]]&amp;" = new "&amp;ValueObject[[#This Row],[ValueObject]]&amp;"("&amp;ValueObject[[#This Row],[変数_VO]]&amp;");"</f>
        <v>WorkerCode = new WorkerCode(workerCode);</v>
      </c>
      <c r="N13" s="21" t="str">
        <f>"public "&amp;ValueObject[[#This Row],[ValueObject]]&amp;" "&amp;ValueObject[[#This Row],[Entity_プロパティ]]&amp;" { get; }"</f>
        <v>public WorkerCode WorkerCode { get; }</v>
      </c>
      <c r="O13" s="21" t="str">
        <f>_xlfn.XLOOKUP(SUBSTITUTE(ValueObject[[#This Row],[型]],"?",""),Types[型],Types[Convert],"",,1)</f>
        <v>Convert.ToString</v>
      </c>
      <c r="P13" s="21" t="str">
        <f>_xlfn.XLOOKUP(SUBSTITUTE(ValueObject[[#This Row],[型]],"?",""),Types[型],Types[型_SQLite],"",0,1)</f>
        <v>TEXT</v>
      </c>
      <c r="Q13" s="21" t="str">
        <f>IF(ValueObject[[#This Row],[SQLite_型]]="","",ValueObject[[#This Row],[DBテーブル_物理名]]&amp;" "&amp;ValueObject[[#This Row],[SQLite_型]])</f>
        <v>worker_code TEXT</v>
      </c>
      <c r="R13" s="19" t="str" cm="1">
        <f t="array" ref="R13">SUBSTITUTE(SUBSTITUTE(Templates[Repository_Entity_Args_NotNull],"__Convert__",ValueObject[[#This Row],[Convert]]),"__TableColumn__",ValueObject[[#This Row],[DBテーブル_物理名]])</f>
        <v>Convert.ToString(reader["worker_code"])</v>
      </c>
      <c r="S13" s="19" t="str" cm="1">
        <f t="array" ref="S13">SUBSTITUTE(SUBSTITUTE(Templates[Repository_Entity_Args_Null],"__Convert__",ValueObject[[#This Row],[Convert]]),"__TableColumn__",ValueObject[[#This Row],[DBテーブル_物理名]])</f>
        <v>reader["worker_code"] != DBNull.Value ? Convert.ToString(reader["worker_code"]) : null</v>
      </c>
      <c r="T13" s="19" t="str">
        <f>IF(ValueObject[[#This Row],[NotNull]]=1,ValueObject[[#This Row],[Repository_Entity_Args_NotNull]],ValueObject[[#This Row],[Repository_Entity_Args_Null]])</f>
        <v>Convert.ToString(reader["worker_code"])</v>
      </c>
      <c r="U13" s="19" t="str">
        <f>ValueObject[[#This Row],[DBテーブル_物理名]]&amp;" = @"&amp;ValueObject[[#This Row],[DBテーブル_物理名]]</f>
        <v>worker_code = @worker_code</v>
      </c>
      <c r="V13" s="19" t="str" cm="1">
        <f t="array" ref="V13">SUBSTITUTE(SUBSTITUTE(Templates[SQLiteParameter_Args],"__Column__",ValueObject[[#This Row],[DBテーブル_物理名]]),"__VO__",ValueObject[[#This Row],[Entity_プロパティ]])</f>
        <v>new SQLiteParameter("@worker_code", entity.WorkerCode.Value)</v>
      </c>
      <c r="W13" s="19" t="str" cm="1">
        <f t="array" ref="W13">SUBSTITUTE(SUBSTITUTE(Templates[ViewModelEntity_Property_get],"__Type__",ValueObject[[#This Row],[型]]),"__EntityProperty__",ValueObject[[#This Row],[Entity_プロパティ]])</f>
        <v xml:space="preserve">        public string WorkerCode =&gt; Entity.WorkerCode.Value;</v>
      </c>
      <c r="X13" s="19" t="str" cm="1">
        <f t="array" ref="X13">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3" s="19" t="str" cm="1">
        <f t="array" ref="Y13">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4" spans="1:25" ht="20.05" customHeight="1">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Weekday</v>
      </c>
      <c r="E14" s="21" t="str">
        <f>_xlfn.XLOOKUP(ValueObject[[#This Row],[VONo]],InputValueObjects[VONo],InputValueObjects[DBカラム_物理名],"",0,1)</f>
        <v>weekday</v>
      </c>
      <c r="F14" s="19" t="str">
        <f>"@"&amp;ValueObject[[#This Row],[DBテーブル_物理名]]</f>
        <v>@weekday</v>
      </c>
      <c r="G14" s="21">
        <f>_xlfn.XLOOKUP(ValueObject[[#This Row],[VONo]],InputValueObjects[VONo],InputValueObjects[PK],"",0,1)</f>
        <v>2</v>
      </c>
      <c r="H14" s="21">
        <f>_xlfn.XLOOKUP(ValueObject[[#This Row],[VONo]],InputValueObjects[VONo],InputValueObjects[NotNull],"",0,1)</f>
        <v>1</v>
      </c>
      <c r="I14" s="21" t="str">
        <f>_xlfn.XLOOKUP(ValueObject[[#This Row],[VONo]],InputValueObjects[VONo],InputValueObjects[型],"",0,1)</f>
        <v>int</v>
      </c>
      <c r="J14" s="21" t="str">
        <f>_xlfn.XLOOKUP(ValueObject[[#This Row],[VONo]],InputValueObjects[VONo],InputValueObjects[Entity_プロパティ],"",0,1)</f>
        <v>Weekday</v>
      </c>
      <c r="K14" s="21" t="str">
        <f>REPLACE(ValueObject[[#This Row],[Entity_プロパティ]],1,1,LOWER(LEFT(ValueObject[[#This Row],[ValueObject]])))</f>
        <v>weekday</v>
      </c>
      <c r="L14" s="21" t="str">
        <f>ValueObject[[#This Row],[型]]&amp;" "&amp;ValueObject[[#This Row],[変数_VO]]</f>
        <v>int weekday</v>
      </c>
      <c r="M14" s="21" t="str">
        <f>ValueObject[[#This Row],[Entity_プロパティ]]&amp;" = new "&amp;ValueObject[[#This Row],[ValueObject]]&amp;"("&amp;ValueObject[[#This Row],[変数_VO]]&amp;");"</f>
        <v>Weekday = new Weekday(weekday);</v>
      </c>
      <c r="N14" s="21" t="str">
        <f>"public "&amp;ValueObject[[#This Row],[ValueObject]]&amp;" "&amp;ValueObject[[#This Row],[Entity_プロパティ]]&amp;" { get; }"</f>
        <v>public Weekday Weekday { get; }</v>
      </c>
      <c r="O14" s="21" t="str">
        <f>_xlfn.XLOOKUP(SUBSTITUTE(ValueObject[[#This Row],[型]],"?",""),Types[型],Types[Convert],"",,1)</f>
        <v>Convert.ToInt32</v>
      </c>
      <c r="P14" s="21" t="str">
        <f>_xlfn.XLOOKUP(SUBSTITUTE(ValueObject[[#This Row],[型]],"?",""),Types[型],Types[型_SQLite],"",0,1)</f>
        <v>INTEGER</v>
      </c>
      <c r="Q14" s="21" t="str">
        <f>IF(ValueObject[[#This Row],[SQLite_型]]="","",ValueObject[[#This Row],[DBテーブル_物理名]]&amp;" "&amp;ValueObject[[#This Row],[SQLite_型]])</f>
        <v>weekday INTEGER</v>
      </c>
      <c r="R14" s="19" t="str" cm="1">
        <f t="array" ref="R14">SUBSTITUTE(SUBSTITUTE(Templates[Repository_Entity_Args_NotNull],"__Convert__",ValueObject[[#This Row],[Convert]]),"__TableColumn__",ValueObject[[#This Row],[DBテーブル_物理名]])</f>
        <v>Convert.ToInt32(reader["weekday"])</v>
      </c>
      <c r="S14" s="19" t="str" cm="1">
        <f t="array" ref="S14">SUBSTITUTE(SUBSTITUTE(Templates[Repository_Entity_Args_Null],"__Convert__",ValueObject[[#This Row],[Convert]]),"__TableColumn__",ValueObject[[#This Row],[DBテーブル_物理名]])</f>
        <v>reader["weekday"] != DBNull.Value ? Convert.ToInt32(reader["weekday"]) : null</v>
      </c>
      <c r="T14" s="19" t="str">
        <f>IF(ValueObject[[#This Row],[NotNull]]=1,ValueObject[[#This Row],[Repository_Entity_Args_NotNull]],ValueObject[[#This Row],[Repository_Entity_Args_Null]])</f>
        <v>Convert.ToInt32(reader["weekday"])</v>
      </c>
      <c r="U14" s="19" t="str">
        <f>ValueObject[[#This Row],[DBテーブル_物理名]]&amp;" = @"&amp;ValueObject[[#This Row],[DBテーブル_物理名]]</f>
        <v>weekday = @weekday</v>
      </c>
      <c r="V14" s="19" t="str" cm="1">
        <f t="array" ref="V14">SUBSTITUTE(SUBSTITUTE(Templates[SQLiteParameter_Args],"__Column__",ValueObject[[#This Row],[DBテーブル_物理名]]),"__VO__",ValueObject[[#This Row],[Entity_プロパティ]])</f>
        <v>new SQLiteParameter("@weekday", entity.Weekday.Value)</v>
      </c>
      <c r="W14" s="19" t="str" cm="1">
        <f t="array" ref="W14">SUBSTITUTE(SUBSTITUTE(Templates[ViewModelEntity_Property_get],"__Type__",ValueObject[[#This Row],[型]]),"__EntityProperty__",ValueObject[[#This Row],[Entity_プロパティ]])</f>
        <v xml:space="preserve">        public int Weekday =&gt; Entity.Weekday.Value;</v>
      </c>
      <c r="X14" s="19" t="str" cm="1">
        <f t="array" ref="X14">SUBSTITUTE(SUBSTITUTE(Templates[ViewModelEntity_Property_getset],"__Type__",ValueObject[[#This Row],[型]]),"__EntityProperty__",ValueObject[[#This Row],[Entity_プロパティ]])</f>
        <v xml:space="preserve">       public int Weekday 
        {
            get { return Entity.Weekday.Value; }
            set { Entity.Weekday = new Weekday(value);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WorkingTime</v>
      </c>
      <c r="E15" s="21" t="str">
        <f>_xlfn.XLOOKUP(ValueObject[[#This Row],[VONo]],InputValueObjects[VONo],InputValueObjects[DBカラム_物理名],"",0,1)</f>
        <v>working_time</v>
      </c>
      <c r="F15" s="19" t="str">
        <f>"@"&amp;ValueObject[[#This Row],[DBテーブル_物理名]]</f>
        <v>@working_time</v>
      </c>
      <c r="G15" s="21">
        <f>_xlfn.XLOOKUP(ValueObject[[#This Row],[VONo]],InputValueObjects[VONo],InputValueObjects[PK],"",0,1)</f>
        <v>0</v>
      </c>
      <c r="H15" s="21">
        <f>_xlfn.XLOOKUP(ValueObject[[#This Row],[VONo]],InputValueObjects[VONo],InputValueObjects[NotNull],"",0,1)</f>
        <v>0</v>
      </c>
      <c r="I15" s="21" t="str">
        <f>_xlfn.XLOOKUP(ValueObject[[#This Row],[VONo]],InputValueObjects[VONo],InputValueObjects[型],"",0,1)</f>
        <v>float?</v>
      </c>
      <c r="J15" s="21" t="str">
        <f>_xlfn.XLOOKUP(ValueObject[[#This Row],[VONo]],InputValueObjects[VONo],InputValueObjects[Entity_プロパティ],"",0,1)</f>
        <v>WorkingTime</v>
      </c>
      <c r="K15" s="21" t="str">
        <f>REPLACE(ValueObject[[#This Row],[Entity_プロパティ]],1,1,LOWER(LEFT(ValueObject[[#This Row],[ValueObject]])))</f>
        <v>workingTime</v>
      </c>
      <c r="L15" s="21" t="str">
        <f>ValueObject[[#This Row],[型]]&amp;" "&amp;ValueObject[[#This Row],[変数_VO]]</f>
        <v>float? workingTime</v>
      </c>
      <c r="M15" s="21" t="str">
        <f>ValueObject[[#This Row],[Entity_プロパティ]]&amp;" = new "&amp;ValueObject[[#This Row],[ValueObject]]&amp;"("&amp;ValueObject[[#This Row],[変数_VO]]&amp;");"</f>
        <v>WorkingTime = new WorkingTime(workingTime);</v>
      </c>
      <c r="N15" s="21" t="str">
        <f>"public "&amp;ValueObject[[#This Row],[ValueObject]]&amp;" "&amp;ValueObject[[#This Row],[Entity_プロパティ]]&amp;" { get; }"</f>
        <v>public WorkingTime WorkingTime { get; }</v>
      </c>
      <c r="O15" s="21" t="str">
        <f>_xlfn.XLOOKUP(SUBSTITUTE(ValueObject[[#This Row],[型]],"?",""),Types[型],Types[Convert],"",,1)</f>
        <v>Convert.ToSingle</v>
      </c>
      <c r="P15" s="21" t="str">
        <f>_xlfn.XLOOKUP(SUBSTITUTE(ValueObject[[#This Row],[型]],"?",""),Types[型],Types[型_SQLite],"",0,1)</f>
        <v>REAL</v>
      </c>
      <c r="Q15" s="21" t="str">
        <f>IF(ValueObject[[#This Row],[SQLite_型]]="","",ValueObject[[#This Row],[DBテーブル_物理名]]&amp;" "&amp;ValueObject[[#This Row],[SQLite_型]])</f>
        <v>working_time REAL</v>
      </c>
      <c r="R15" s="19" t="str" cm="1">
        <f t="array" ref="R15">SUBSTITUTE(SUBSTITUTE(Templates[Repository_Entity_Args_NotNull],"__Convert__",ValueObject[[#This Row],[Convert]]),"__TableColumn__",ValueObject[[#This Row],[DBテーブル_物理名]])</f>
        <v>Convert.ToSingle(reader["working_time"])</v>
      </c>
      <c r="S15" s="19" t="str" cm="1">
        <f t="array" ref="S15">SUBSTITUTE(SUBSTITUTE(Templates[Repository_Entity_Args_Null],"__Convert__",ValueObject[[#This Row],[Convert]]),"__TableColumn__",ValueObject[[#This Row],[DBテーブル_物理名]])</f>
        <v>reader["working_time"] != DBNull.Value ? Convert.ToSingle(reader["working_time"]) : null</v>
      </c>
      <c r="T15" s="19" t="str">
        <f>IF(ValueObject[[#This Row],[NotNull]]=1,ValueObject[[#This Row],[Repository_Entity_Args_NotNull]],ValueObject[[#This Row],[Repository_Entity_Args_Null]])</f>
        <v>reader["working_time"] != DBNull.Value ? Convert.ToSingle(reader["working_time"]) : null</v>
      </c>
      <c r="U15" s="19" t="str">
        <f>ValueObject[[#This Row],[DBテーブル_物理名]]&amp;" = @"&amp;ValueObject[[#This Row],[DBテーブル_物理名]]</f>
        <v>working_time = @working_time</v>
      </c>
      <c r="V15" s="19" t="str" cm="1">
        <f t="array" ref="V15">SUBSTITUTE(SUBSTITUTE(Templates[SQLiteParameter_Args],"__Column__",ValueObject[[#This Row],[DBテーブル_物理名]]),"__VO__",ValueObject[[#This Row],[Entity_プロパティ]])</f>
        <v>new SQLiteParameter("@working_time", entity.WorkingTime.Value)</v>
      </c>
      <c r="W15" s="19" t="str" cm="1">
        <f t="array" ref="W15">SUBSTITUTE(SUBSTITUTE(Templates[ViewModelEntity_Property_get],"__Type__",ValueObject[[#This Row],[型]]),"__EntityProperty__",ValueObject[[#This Row],[Entity_プロパティ]])</f>
        <v xml:space="preserve">        public float? WorkingTime =&gt; Entity.WorkingTime.Value;</v>
      </c>
      <c r="X15" s="19" t="str" cm="1">
        <f t="array" ref="X15">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
      </c>
      <c r="D16" s="21" t="str">
        <f>_xlfn.XLOOKUP(ValueObject[[#This Row],[VONo]],InputValueObjects[VONo],InputValueObjects[ValueObject],"",0,1)</f>
        <v/>
      </c>
      <c r="E16" s="21">
        <f>_xlfn.XLOOKUP(ValueObject[[#This Row],[VONo]],InputValueObjects[VONo],InputValueObjects[DBカラム_物理名],"",0,1)</f>
        <v>0</v>
      </c>
      <c r="F16" s="19" t="str">
        <f>"@"&amp;ValueObject[[#This Row],[DBテーブル_物理名]]</f>
        <v>@0</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
      </c>
      <c r="J16" s="21" t="str">
        <f>_xlfn.XLOOKUP(ValueObject[[#This Row],[VONo]],InputValueObjects[VONo],InputValueObjects[Entity_プロパティ],"",0,1)</f>
        <v/>
      </c>
      <c r="K16" s="21" t="str">
        <f>REPLACE(ValueObject[[#This Row],[Entity_プロパティ]],1,1,LOWER(LEFT(ValueObject[[#This Row],[ValueObject]])))</f>
        <v/>
      </c>
      <c r="L16" s="21" t="str">
        <f>ValueObject[[#This Row],[型]]&amp;" "&amp;ValueObject[[#This Row],[変数_VO]]</f>
        <v xml:space="preserve"> </v>
      </c>
      <c r="M16" s="21" t="str">
        <f>ValueObject[[#This Row],[Entity_プロパティ]]&amp;" = new "&amp;ValueObject[[#This Row],[ValueObject]]&amp;"("&amp;ValueObject[[#This Row],[変数_VO]]&amp;");"</f>
        <v xml:space="preserve"> = new ();</v>
      </c>
      <c r="N16" s="21" t="str">
        <f>"public "&amp;ValueObject[[#This Row],[ValueObject]]&amp;" "&amp;ValueObject[[#This Row],[Entity_プロパティ]]&amp;" { get; }"</f>
        <v>public   { get; }</v>
      </c>
      <c r="O16" s="21" t="str">
        <f>_xlfn.XLOOKUP(SUBSTITUTE(ValueObject[[#This Row],[型]],"?",""),Types[型],Types[Convert],"",,1)</f>
        <v/>
      </c>
      <c r="P16" s="21" t="str">
        <f>_xlfn.XLOOKUP(SUBSTITUTE(ValueObject[[#This Row],[型]],"?",""),Types[型],Types[型_SQLite],"",0,1)</f>
        <v/>
      </c>
      <c r="Q16" s="21" t="str">
        <f>IF(ValueObject[[#This Row],[SQLite_型]]="","",ValueObject[[#This Row],[DBテーブル_物理名]]&amp;" "&amp;ValueObject[[#This Row],[SQLite_型]])</f>
        <v/>
      </c>
      <c r="R16" s="19" t="str" cm="1">
        <f t="array" ref="R16">SUBSTITUTE(SUBSTITUTE(Templates[Repository_Entity_Args_NotNull],"__Convert__",ValueObject[[#This Row],[Convert]]),"__TableColumn__",ValueObject[[#This Row],[DBテーブル_物理名]])</f>
        <v>(reader["0"])</v>
      </c>
      <c r="S16" s="19" t="str" cm="1">
        <f t="array" ref="S16">SUBSTITUTE(SUBSTITUTE(Templates[Repository_Entity_Args_Null],"__Convert__",ValueObject[[#This Row],[Convert]]),"__TableColumn__",ValueObject[[#This Row],[DBテーブル_物理名]])</f>
        <v>reader["0"] != DBNull.Value ? (reader["0"]) : null</v>
      </c>
      <c r="T16" s="19" t="str">
        <f>IF(ValueObject[[#This Row],[NotNull]]=1,ValueObject[[#This Row],[Repository_Entity_Args_NotNull]],ValueObject[[#This Row],[Repository_Entity_Args_Null]])</f>
        <v>reader["0"] != DBNull.Value ? (reader["0"]) : null</v>
      </c>
      <c r="U16" s="19" t="str">
        <f>ValueObject[[#This Row],[DBテーブル_物理名]]&amp;" = @"&amp;ValueObject[[#This Row],[DBテーブル_物理名]]</f>
        <v>0 = @0</v>
      </c>
      <c r="V16" s="19" t="str" cm="1">
        <f t="array" ref="V16">SUBSTITUTE(SUBSTITUTE(Templates[SQLiteParameter_Args],"__Column__",ValueObject[[#This Row],[DBテーブル_物理名]]),"__VO__",ValueObject[[#This Row],[Entity_プロパティ]])</f>
        <v>new SQLiteParameter("@0", entity..Value)</v>
      </c>
      <c r="W16" s="19" t="str" cm="1">
        <f t="array" ref="W16">SUBSTITUTE(SUBSTITUTE(Templates[ViewModelEntity_Property_get],"__Type__",ValueObject[[#This Row],[型]]),"__EntityProperty__",ValueObject[[#This Row],[Entity_プロパティ]])</f>
        <v xml:space="preserve">        public   =&gt; Entity..Value;</v>
      </c>
      <c r="X16" s="19" t="str" cm="1">
        <f t="array" ref="X16">SUBSTITUTE(SUBSTITUTE(Templates[ViewModelEntity_Property_getset],"__Type__",ValueObject[[#This Row],[型]]),"__EntityProperty__",ValueObject[[#This Row],[Entity_プロパティ]])</f>
        <v xml:space="preserve">       public   
        {
            get { return Entity..Value; }
            set { Entity. = new (value); }
        }</v>
      </c>
      <c r="Y16" s="19" t="str" cm="1">
        <f t="array" ref="Y16">IF(ValueObject[[#This Row],[ValueObject]]="","",SUBSTITUTE(SUBSTITUTE(SUBSTITUTE(Templates[ValueObject],"__SN__",'1_インプット'!$D$3),"__VO__",ValueObject[[#This Row],[ValueObject]]),"__VOType__",ValueObject[[#This Row],[型]]))</f>
        <v/>
      </c>
    </row>
    <row r="17" spans="2:25" ht="20.05" customHeight="1">
      <c r="B17" s="20">
        <f>ROW(ValueObject[[#This Row],[VONo]])-3</f>
        <v>14</v>
      </c>
      <c r="C17" s="21" t="str">
        <f>_xlfn.XLOOKUP(ValueObject[[#This Row],[VONo]],InputValueObjects[VONo],InputValueObjects[Entity],"",0,1)</f>
        <v>PageMstEntity</v>
      </c>
      <c r="D17" s="21" t="str">
        <f>_xlfn.XLOOKUP(ValueObject[[#This Row],[VONo]],InputValueObjects[VONo],InputValueObjects[ValueObject],"",0,1)</f>
        <v>PageId</v>
      </c>
      <c r="E17" s="21" t="str">
        <f>_xlfn.XLOOKUP(ValueObject[[#This Row],[VONo]],InputValueObjects[VONo],InputValueObjects[DBカラム_物理名],"",0,1)</f>
        <v>page_id</v>
      </c>
      <c r="F17" s="19" t="str">
        <f>"@"&amp;ValueObject[[#This Row],[DBテーブル_物理名]]</f>
        <v>@page_id</v>
      </c>
      <c r="G17" s="21">
        <f>_xlfn.XLOOKUP(ValueObject[[#This Row],[VONo]],InputValueObjects[VONo],InputValueObjects[PK],"",0,1)</f>
        <v>1</v>
      </c>
      <c r="H17" s="21">
        <f>_xlfn.XLOOKUP(ValueObject[[#This Row],[VONo]],InputValueObjects[VONo],InputValueObjects[NotNull],"",0,1)</f>
        <v>1</v>
      </c>
      <c r="I17" s="21" t="str">
        <f>_xlfn.XLOOKUP(ValueObject[[#This Row],[VONo]],InputValueObjects[VONo],InputValueObjects[型],"",0,1)</f>
        <v>int</v>
      </c>
      <c r="J17" s="21" t="str">
        <f>_xlfn.XLOOKUP(ValueObject[[#This Row],[VONo]],InputValueObjects[VONo],InputValueObjects[Entity_プロパティ],"",0,1)</f>
        <v>PageId</v>
      </c>
      <c r="K17" s="21" t="str">
        <f>REPLACE(ValueObject[[#This Row],[Entity_プロパティ]],1,1,LOWER(LEFT(ValueObject[[#This Row],[ValueObject]])))</f>
        <v>pageId</v>
      </c>
      <c r="L17" s="21" t="str">
        <f>ValueObject[[#This Row],[型]]&amp;" "&amp;ValueObject[[#This Row],[変数_VO]]</f>
        <v>int pageId</v>
      </c>
      <c r="M17" s="21" t="str">
        <f>ValueObject[[#This Row],[Entity_プロパティ]]&amp;" = new "&amp;ValueObject[[#This Row],[ValueObject]]&amp;"("&amp;ValueObject[[#This Row],[変数_VO]]&amp;");"</f>
        <v>PageId = new PageId(pageId);</v>
      </c>
      <c r="N17" s="21" t="str">
        <f>"public "&amp;ValueObject[[#This Row],[ValueObject]]&amp;" "&amp;ValueObject[[#This Row],[Entity_プロパティ]]&amp;" { get; }"</f>
        <v>public PageId PageId { get; }</v>
      </c>
      <c r="O17" s="21" t="str">
        <f>_xlfn.XLOOKUP(SUBSTITUTE(ValueObject[[#This Row],[型]],"?",""),Types[型],Types[Convert],"",,1)</f>
        <v>Convert.ToInt32</v>
      </c>
      <c r="P17" s="21" t="str">
        <f>_xlfn.XLOOKUP(SUBSTITUTE(ValueObject[[#This Row],[型]],"?",""),Types[型],Types[型_SQLite],"",0,1)</f>
        <v>INTEGER</v>
      </c>
      <c r="Q17" s="21" t="str">
        <f>IF(ValueObject[[#This Row],[SQLite_型]]="","",ValueObject[[#This Row],[DBテーブル_物理名]]&amp;" "&amp;ValueObject[[#This Row],[SQLite_型]])</f>
        <v>page_id INTEGER</v>
      </c>
      <c r="R17" s="19" t="str" cm="1">
        <f t="array" ref="R17">SUBSTITUTE(SUBSTITUTE(Templates[Repository_Entity_Args_NotNull],"__Convert__",ValueObject[[#This Row],[Convert]]),"__TableColumn__",ValueObject[[#This Row],[DBテーブル_物理名]])</f>
        <v>Convert.ToInt32(reader["page_id"])</v>
      </c>
      <c r="S17" s="19" t="str" cm="1">
        <f t="array" ref="S17">SUBSTITUTE(SUBSTITUTE(Templates[Repository_Entity_Args_Null],"__Convert__",ValueObject[[#This Row],[Convert]]),"__TableColumn__",ValueObject[[#This Row],[DBテーブル_物理名]])</f>
        <v>reader["page_id"] != DBNull.Value ? Convert.ToInt32(reader["page_id"]) : null</v>
      </c>
      <c r="T17" s="19" t="str">
        <f>IF(ValueObject[[#This Row],[NotNull]]=1,ValueObject[[#This Row],[Repository_Entity_Args_NotNull]],ValueObject[[#This Row],[Repository_Entity_Args_Null]])</f>
        <v>Convert.ToInt32(reader["page_id"])</v>
      </c>
      <c r="U17" s="19" t="str">
        <f>ValueObject[[#This Row],[DBテーブル_物理名]]&amp;" = @"&amp;ValueObject[[#This Row],[DBテーブル_物理名]]</f>
        <v>page_id = @page_id</v>
      </c>
      <c r="V17" s="19" t="str" cm="1">
        <f t="array" ref="V17">SUBSTITUTE(SUBSTITUTE(Templates[SQLiteParameter_Args],"__Column__",ValueObject[[#This Row],[DBテーブル_物理名]]),"__VO__",ValueObject[[#This Row],[Entity_プロパティ]])</f>
        <v>new SQLiteParameter("@page_id", entity.PageId.Value)</v>
      </c>
      <c r="W17" s="19" t="str" cm="1">
        <f t="array" ref="W17">SUBSTITUTE(SUBSTITUTE(Templates[ViewModelEntity_Property_get],"__Type__",ValueObject[[#This Row],[型]]),"__EntityProperty__",ValueObject[[#This Row],[Entity_プロパティ]])</f>
        <v xml:space="preserve">        public int PageId =&gt; Entity.PageId.Value;</v>
      </c>
      <c r="X17" s="19" t="str" cm="1">
        <f t="array" ref="X17">SUBSTITUTE(SUBSTITUTE(Templates[ViewModelEntity_Property_getset],"__Type__",ValueObject[[#This Row],[型]]),"__EntityProperty__",ValueObject[[#This Row],[Entity_プロパティ]])</f>
        <v xml:space="preserve">       public int PageId 
        {
            get { return Entity.PageId.Value; }
            set { Entity.PageId = new PageId(value); }
        }</v>
      </c>
      <c r="Y17" s="19" t="str" cm="1">
        <f t="array" ref="Y17">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PageName</v>
      </c>
      <c r="E18" s="21" t="str">
        <f>_xlfn.XLOOKUP(ValueObject[[#This Row],[VONo]],InputValueObjects[VONo],InputValueObjects[DBカラム_物理名],"",0,1)</f>
        <v>page_name</v>
      </c>
      <c r="F18" s="19" t="str">
        <f>"@"&amp;ValueObject[[#This Row],[DBテーブル_物理名]]</f>
        <v>@page_name</v>
      </c>
      <c r="G18" s="21">
        <f>_xlfn.XLOOKUP(ValueObject[[#This Row],[VONo]],InputValueObjects[VONo],InputValueObjects[PK],"",0,1)</f>
        <v>0</v>
      </c>
      <c r="H18" s="21">
        <f>_xlfn.XLOOKUP(ValueObject[[#This Row],[VONo]],InputValueObjects[VONo],InputValueObjects[NotNull],"",0,1)</f>
        <v>1</v>
      </c>
      <c r="I18" s="21" t="str">
        <f>_xlfn.XLOOKUP(ValueObject[[#This Row],[VONo]],InputValueObjects[VONo],InputValueObjects[型],"",0,1)</f>
        <v>string</v>
      </c>
      <c r="J18" s="21" t="str">
        <f>_xlfn.XLOOKUP(ValueObject[[#This Row],[VONo]],InputValueObjects[VONo],InputValueObjects[Entity_プロパティ],"",0,1)</f>
        <v>PageName</v>
      </c>
      <c r="K18" s="21" t="str">
        <f>REPLACE(ValueObject[[#This Row],[Entity_プロパティ]],1,1,LOWER(LEFT(ValueObject[[#This Row],[ValueObject]])))</f>
        <v>pageName</v>
      </c>
      <c r="L18" s="21" t="str">
        <f>ValueObject[[#This Row],[型]]&amp;" "&amp;ValueObject[[#This Row],[変数_VO]]</f>
        <v>string pageName</v>
      </c>
      <c r="M18" s="21" t="str">
        <f>ValueObject[[#This Row],[Entity_プロパティ]]&amp;" = new "&amp;ValueObject[[#This Row],[ValueObject]]&amp;"("&amp;ValueObject[[#This Row],[変数_VO]]&amp;");"</f>
        <v>PageName = new PageName(pageName);</v>
      </c>
      <c r="N18" s="21" t="str">
        <f>"public "&amp;ValueObject[[#This Row],[ValueObject]]&amp;" "&amp;ValueObject[[#This Row],[Entity_プロパティ]]&amp;" { get; }"</f>
        <v>public PageName PageName { get; }</v>
      </c>
      <c r="O18" s="21" t="str">
        <f>_xlfn.XLOOKUP(SUBSTITUTE(ValueObject[[#This Row],[型]],"?",""),Types[型],Types[Convert],"",,1)</f>
        <v>Convert.ToString</v>
      </c>
      <c r="P18" s="21" t="str">
        <f>_xlfn.XLOOKUP(SUBSTITUTE(ValueObject[[#This Row],[型]],"?",""),Types[型],Types[型_SQLite],"",0,1)</f>
        <v>TEXT</v>
      </c>
      <c r="Q18" s="21" t="str">
        <f>IF(ValueObject[[#This Row],[SQLite_型]]="","",ValueObject[[#This Row],[DBテーブル_物理名]]&amp;" "&amp;ValueObject[[#This Row],[SQLite_型]])</f>
        <v>page_name TEXT</v>
      </c>
      <c r="R18" s="19" t="str" cm="1">
        <f t="array" ref="R18">SUBSTITUTE(SUBSTITUTE(Templates[Repository_Entity_Args_NotNull],"__Convert__",ValueObject[[#This Row],[Convert]]),"__TableColumn__",ValueObject[[#This Row],[DBテーブル_物理名]])</f>
        <v>Convert.ToString(reader["page_name"])</v>
      </c>
      <c r="S18" s="19" t="str" cm="1">
        <f t="array" ref="S18">SUBSTITUTE(SUBSTITUTE(Templates[Repository_Entity_Args_Null],"__Convert__",ValueObject[[#This Row],[Convert]]),"__TableColumn__",ValueObject[[#This Row],[DBテーブル_物理名]])</f>
        <v>reader["page_name"] != DBNull.Value ? Convert.ToString(reader["page_name"]) : null</v>
      </c>
      <c r="T18" s="19" t="str">
        <f>IF(ValueObject[[#This Row],[NotNull]]=1,ValueObject[[#This Row],[Repository_Entity_Args_NotNull]],ValueObject[[#This Row],[Repository_Entity_Args_Null]])</f>
        <v>Convert.ToString(reader["page_name"])</v>
      </c>
      <c r="U18" s="19" t="str">
        <f>ValueObject[[#This Row],[DBテーブル_物理名]]&amp;" = @"&amp;ValueObject[[#This Row],[DBテーブル_物理名]]</f>
        <v>page_name = @page_name</v>
      </c>
      <c r="V18" s="19" t="str" cm="1">
        <f t="array" ref="V18">SUBSTITUTE(SUBSTITUTE(Templates[SQLiteParameter_Args],"__Column__",ValueObject[[#This Row],[DBテーブル_物理名]]),"__VO__",ValueObject[[#This Row],[Entity_プロパティ]])</f>
        <v>new SQLiteParameter("@page_name", entity.PageName.Value)</v>
      </c>
      <c r="W18" s="19" t="str" cm="1">
        <f t="array" ref="W18">SUBSTITUTE(SUBSTITUTE(Templates[ViewModelEntity_Property_get],"__Type__",ValueObject[[#This Row],[型]]),"__EntityProperty__",ValueObject[[#This Row],[Entity_プロパティ]])</f>
        <v xml:space="preserve">        public string PageName =&gt; Entity.PageName.Value;</v>
      </c>
      <c r="X18" s="19" t="str" cm="1">
        <f t="array" ref="X18">SUBSTITUTE(SUBSTITUTE(Templates[ViewModelEntity_Property_getset],"__Type__",ValueObject[[#This Row],[型]]),"__EntityProperty__",ValueObject[[#This Row],[Entity_プロパティ]])</f>
        <v xml:space="preserve">       public string PageName 
        {
            get { return Entity.PageName.Value; }
            set { Entity.PageName = new PageName(value);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MovieLink</v>
      </c>
      <c r="E19" s="21" t="str">
        <f>_xlfn.XLOOKUP(ValueObject[[#This Row],[VONo]],InputValueObjects[VONo],InputValueObjects[DBカラム_物理名],"",0,1)</f>
        <v>movie_link</v>
      </c>
      <c r="F19" s="19" t="str">
        <f>"@"&amp;ValueObject[[#This Row],[DBテーブル_物理名]]</f>
        <v>@movie_link</v>
      </c>
      <c r="G19" s="21">
        <f>_xlfn.XLOOKUP(ValueObject[[#This Row],[VONo]],InputValueObjects[VONo],InputValueObjects[PK],"",0,1)</f>
        <v>0</v>
      </c>
      <c r="H19" s="21">
        <f>_xlfn.XLOOKUP(ValueObject[[#This Row],[VONo]],InputValueObjects[VONo],InputValueObjects[NotNull],"",0,1)</f>
        <v>0</v>
      </c>
      <c r="I19" s="21" t="str">
        <f>_xlfn.XLOOKUP(ValueObject[[#This Row],[VONo]],InputValueObjects[VONo],InputValueObjects[型],"",0,1)</f>
        <v>string?</v>
      </c>
      <c r="J19" s="21" t="str">
        <f>_xlfn.XLOOKUP(ValueObject[[#This Row],[VONo]],InputValueObjects[VONo],InputValueObjects[Entity_プロパティ],"",0,1)</f>
        <v>MovieLink</v>
      </c>
      <c r="K19" s="21" t="str">
        <f>REPLACE(ValueObject[[#This Row],[Entity_プロパティ]],1,1,LOWER(LEFT(ValueObject[[#This Row],[ValueObject]])))</f>
        <v>movieLink</v>
      </c>
      <c r="L19" s="21" t="str">
        <f>ValueObject[[#This Row],[型]]&amp;" "&amp;ValueObject[[#This Row],[変数_VO]]</f>
        <v>string? movieLink</v>
      </c>
      <c r="M19" s="21" t="str">
        <f>ValueObject[[#This Row],[Entity_プロパティ]]&amp;" = new "&amp;ValueObject[[#This Row],[ValueObject]]&amp;"("&amp;ValueObject[[#This Row],[変数_VO]]&amp;");"</f>
        <v>MovieLink = new MovieLink(movieLink);</v>
      </c>
      <c r="N19" s="21" t="str">
        <f>"public "&amp;ValueObject[[#This Row],[ValueObject]]&amp;" "&amp;ValueObject[[#This Row],[Entity_プロパティ]]&amp;" { get; }"</f>
        <v>public MovieLink MovieLink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movie_link TEXT</v>
      </c>
      <c r="R19" s="19" t="str" cm="1">
        <f t="array" ref="R19">SUBSTITUTE(SUBSTITUTE(Templates[Repository_Entity_Args_NotNull],"__Convert__",ValueObject[[#This Row],[Convert]]),"__TableColumn__",ValueObject[[#This Row],[DBテーブル_物理名]])</f>
        <v>Convert.ToString(reader["movie_link"])</v>
      </c>
      <c r="S19" s="19" t="str" cm="1">
        <f t="array" ref="S19">SUBSTITUTE(SUBSTITUTE(Templates[Repository_Entity_Args_Null],"__Convert__",ValueObject[[#This Row],[Convert]]),"__TableColumn__",ValueObject[[#This Row],[DBテーブル_物理名]])</f>
        <v>reader["movie_link"] != DBNull.Value ? Convert.ToString(reader["movie_link"]) : null</v>
      </c>
      <c r="T19" s="19" t="str">
        <f>IF(ValueObject[[#This Row],[NotNull]]=1,ValueObject[[#This Row],[Repository_Entity_Args_NotNull]],ValueObject[[#This Row],[Repository_Entity_Args_Null]])</f>
        <v>reader["movie_link"] != DBNull.Value ? Convert.ToString(reader["movie_link"]) : null</v>
      </c>
      <c r="U19" s="19" t="str">
        <f>ValueObject[[#This Row],[DBテーブル_物理名]]&amp;" = @"&amp;ValueObject[[#This Row],[DBテーブル_物理名]]</f>
        <v>movie_link = @movie_link</v>
      </c>
      <c r="V19" s="19" t="str" cm="1">
        <f t="array" ref="V19">SUBSTITUTE(SUBSTITUTE(Templates[SQLiteParameter_Args],"__Column__",ValueObject[[#This Row],[DBテーブル_物理名]]),"__VO__",ValueObject[[#This Row],[Entity_プロパティ]])</f>
        <v>new SQLiteParameter("@movie_link", entity.MovieLink.Value)</v>
      </c>
      <c r="W19" s="19" t="str" cm="1">
        <f t="array" ref="W19">SUBSTITUTE(SUBSTITUTE(Templates[ViewModelEntity_Property_get],"__Type__",ValueObject[[#This Row],[型]]),"__EntityProperty__",ValueObject[[#This Row],[Entity_プロパティ]])</f>
        <v xml:space="preserve">        public string? MovieLink =&gt; Entity.MovieLink.Value;</v>
      </c>
      <c r="X19" s="19" t="str" cm="1">
        <f t="array" ref="X19">SUBSTITUTE(SUBSTITUTE(Templates[ViewModelEntity_Property_getset],"__Type__",ValueObject[[#This Row],[型]]),"__EntityProperty__",ValueObject[[#This Row],[Entity_プロパティ]])</f>
        <v xml:space="preserve">       public string? MovieLink 
        {
            get { return Entity.MovieLink.Value; }
            set { Entity.MovieLink = new MovieLink(value);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ImageFolderLink</v>
      </c>
      <c r="E20" s="21" t="str">
        <f>_xlfn.XLOOKUP(ValueObject[[#This Row],[VONo]],InputValueObjects[VONo],InputValueObjects[DBカラム_物理名],"",0,1)</f>
        <v>image_folder_link</v>
      </c>
      <c r="F20" s="19" t="str">
        <f>"@"&amp;ValueObject[[#This Row],[DBテーブル_物理名]]</f>
        <v>@image_folder_link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ImageFolderLink</v>
      </c>
      <c r="K20" s="21" t="str">
        <f>REPLACE(ValueObject[[#This Row],[Entity_プロパティ]],1,1,LOWER(LEFT(ValueObject[[#This Row],[ValueObject]])))</f>
        <v>imageFolderLink</v>
      </c>
      <c r="L20" s="21" t="str">
        <f>ValueObject[[#This Row],[型]]&amp;" "&amp;ValueObject[[#This Row],[変数_VO]]</f>
        <v>string? imageFolderLink</v>
      </c>
      <c r="M20" s="21" t="str">
        <f>ValueObject[[#This Row],[Entity_プロパティ]]&amp;" = new "&amp;ValueObject[[#This Row],[ValueObject]]&amp;"("&amp;ValueObject[[#This Row],[変数_VO]]&amp;");"</f>
        <v>ImageFolderLink = new ImageFolderLink(imageFolderLink);</v>
      </c>
      <c r="N20" s="21" t="str">
        <f>"public "&amp;ValueObject[[#This Row],[ValueObject]]&amp;" "&amp;ValueObject[[#This Row],[Entity_プロパティ]]&amp;" { get; }"</f>
        <v>public ImageFolderLink ImageFolderLink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image_folder_link TEXT</v>
      </c>
      <c r="R20" s="19" t="str" cm="1">
        <f t="array" ref="R20">SUBSTITUTE(SUBSTITUTE(Templates[Repository_Entity_Args_NotNull],"__Convert__",ValueObject[[#This Row],[Convert]]),"__TableColumn__",ValueObject[[#This Row],[DBテーブル_物理名]])</f>
        <v>Convert.ToString(reader["image_folder_link"])</v>
      </c>
      <c r="S20" s="19" t="str" cm="1">
        <f t="array" ref="S20">SUBSTITUTE(SUBSTITUTE(Templates[Repository_Entity_Args_Null],"__Convert__",ValueObject[[#This Row],[Convert]]),"__TableColumn__",ValueObject[[#This Row],[DBテーブル_物理名]])</f>
        <v>reader["image_folder_link"] != DBNull.Value ? Convert.ToString(reader["image_folder_link"]) : null</v>
      </c>
      <c r="T20" s="19" t="str">
        <f>IF(ValueObject[[#This Row],[NotNull]]=1,ValueObject[[#This Row],[Repository_Entity_Args_NotNull]],ValueObject[[#This Row],[Repository_Entity_Args_Null]])</f>
        <v>reader["image_folder_link"] != DBNull.Value ? Convert.ToString(reader["image_folder_link"]) : null</v>
      </c>
      <c r="U20" s="19" t="str">
        <f>ValueObject[[#This Row],[DBテーブル_物理名]]&amp;" = @"&amp;ValueObject[[#This Row],[DBテーブル_物理名]]</f>
        <v>image_folder_link = @image_folder_link</v>
      </c>
      <c r="V20" s="19" t="str" cm="1">
        <f t="array" ref="V20">SUBSTITUTE(SUBSTITUTE(Templates[SQLiteParameter_Args],"__Column__",ValueObject[[#This Row],[DBテーブル_物理名]]),"__VO__",ValueObject[[#This Row],[Entity_プロパティ]])</f>
        <v>new SQLiteParameter("@image_folder_link", entity.ImageFolderLink.Value)</v>
      </c>
      <c r="W20" s="19" t="str" cm="1">
        <f t="array" ref="W20">SUBSTITUTE(SUBSTITUTE(Templates[ViewModelEntity_Property_get],"__Type__",ValueObject[[#This Row],[型]]),"__EntityProperty__",ValueObject[[#This Row],[Entity_プロパティ]])</f>
        <v xml:space="preserve">        public string? ImageFolderLink =&gt; Entity.ImageFolderLink.Value;</v>
      </c>
      <c r="X20" s="19" t="str" cm="1">
        <f t="array" ref="X20">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ImagePageNo</v>
      </c>
      <c r="E21" s="21" t="str">
        <f>_xlfn.XLOOKUP(ValueObject[[#This Row],[VONo]],InputValueObjects[VONo],InputValueObjects[DBカラム_物理名],"",0,1)</f>
        <v>image_page_no</v>
      </c>
      <c r="F21" s="19" t="str">
        <f>"@"&amp;ValueObject[[#This Row],[DBテーブル_物理名]]</f>
        <v>@image_page_no</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int?</v>
      </c>
      <c r="J21" s="21" t="str">
        <f>_xlfn.XLOOKUP(ValueObject[[#This Row],[VONo]],InputValueObjects[VONo],InputValueObjects[Entity_プロパティ],"",0,1)</f>
        <v>ImagePageNo</v>
      </c>
      <c r="K21" s="21" t="str">
        <f>REPLACE(ValueObject[[#This Row],[Entity_プロパティ]],1,1,LOWER(LEFT(ValueObject[[#This Row],[ValueObject]])))</f>
        <v>imagePageNo</v>
      </c>
      <c r="L21" s="21" t="str">
        <f>ValueObject[[#This Row],[型]]&amp;" "&amp;ValueObject[[#This Row],[変数_VO]]</f>
        <v>int? imagePageNo</v>
      </c>
      <c r="M21" s="21" t="str">
        <f>ValueObject[[#This Row],[Entity_プロパティ]]&amp;" = new "&amp;ValueObject[[#This Row],[ValueObject]]&amp;"("&amp;ValueObject[[#This Row],[変数_VO]]&amp;");"</f>
        <v>ImagePageNo = new ImagePageNo(imagePageNo);</v>
      </c>
      <c r="N21" s="21" t="str">
        <f>"public "&amp;ValueObject[[#This Row],[ValueObject]]&amp;" "&amp;ValueObject[[#This Row],[Entity_プロパティ]]&amp;" { get; }"</f>
        <v>public ImagePageNo ImagePageNo { get; }</v>
      </c>
      <c r="O21" s="21" t="str">
        <f>_xlfn.XLOOKUP(SUBSTITUTE(ValueObject[[#This Row],[型]],"?",""),Types[型],Types[Convert],"",,1)</f>
        <v>Convert.ToInt32</v>
      </c>
      <c r="P21" s="21" t="str">
        <f>_xlfn.XLOOKUP(SUBSTITUTE(ValueObject[[#This Row],[型]],"?",""),Types[型],Types[型_SQLite],"",0,1)</f>
        <v>INTEGER</v>
      </c>
      <c r="Q21" s="21" t="str">
        <f>IF(ValueObject[[#This Row],[SQLite_型]]="","",ValueObject[[#This Row],[DBテーブル_物理名]]&amp;" "&amp;ValueObject[[#This Row],[SQLite_型]])</f>
        <v>image_page_no INTEGER</v>
      </c>
      <c r="R21" s="19" t="str" cm="1">
        <f t="array" ref="R21">SUBSTITUTE(SUBSTITUTE(Templates[Repository_Entity_Args_NotNull],"__Convert__",ValueObject[[#This Row],[Convert]]),"__TableColumn__",ValueObject[[#This Row],[DBテーブル_物理名]])</f>
        <v>Convert.ToInt32(reader["image_page_no"])</v>
      </c>
      <c r="S21" s="19" t="str" cm="1">
        <f t="array" ref="S21">SUBSTITUTE(SUBSTITUTE(Templates[Repository_Entity_Args_Null],"__Convert__",ValueObject[[#This Row],[Convert]]),"__TableColumn__",ValueObject[[#This Row],[DBテーブル_物理名]])</f>
        <v>reader["image_page_no"] != DBNull.Value ? Convert.ToInt32(reader["image_page_no"]) : null</v>
      </c>
      <c r="T21" s="19" t="str">
        <f>IF(ValueObject[[#This Row],[NotNull]]=1,ValueObject[[#This Row],[Repository_Entity_Args_NotNull]],ValueObject[[#This Row],[Repository_Entity_Args_Null]])</f>
        <v>reader["image_page_no"] != DBNull.Value ? Convert.ToInt32(reader["image_page_no"]) : null</v>
      </c>
      <c r="U21" s="19" t="str">
        <f>ValueObject[[#This Row],[DBテーブル_物理名]]&amp;" = @"&amp;ValueObject[[#This Row],[DBテーブル_物理名]]</f>
        <v>image_page_no = @image_page_no</v>
      </c>
      <c r="V21" s="19" t="str" cm="1">
        <f t="array" ref="V21">SUBSTITUTE(SUBSTITUTE(Templates[SQLiteParameter_Args],"__Column__",ValueObject[[#This Row],[DBテーブル_物理名]]),"__VO__",ValueObject[[#This Row],[Entity_プロパティ]])</f>
        <v>new SQLiteParameter("@image_page_no", entity.ImagePageNo.Value)</v>
      </c>
      <c r="W21" s="19" t="str" cm="1">
        <f t="array" ref="W21">SUBSTITUTE(SUBSTITUTE(Templates[ViewModelEntity_Property_get],"__Type__",ValueObject[[#This Row],[型]]),"__EntityProperty__",ValueObject[[#This Row],[Entity_プロパティ]])</f>
        <v xml:space="preserve">        public int? ImagePageNo =&gt; Entity.ImagePageNo.Value;</v>
      </c>
      <c r="X21" s="19" t="str" cm="1">
        <f t="array" ref="X21">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SlideWaitingTime</v>
      </c>
      <c r="E22" s="21" t="str">
        <f>_xlfn.XLOOKUP(ValueObject[[#This Row],[VONo]],InputValueObjects[VONo],InputValueObjects[DBカラム_物理名],"",0,1)</f>
        <v>slide_waiting_time</v>
      </c>
      <c r="F22" s="19" t="str">
        <f>"@"&amp;ValueObject[[#This Row],[DBテーブル_物理名]]</f>
        <v>@slide_waiting_time</v>
      </c>
      <c r="G22" s="21">
        <f>_xlfn.XLOOKUP(ValueObject[[#This Row],[VONo]],InputValueObjects[VONo],InputValueObjects[PK],"",0,1)</f>
        <v>0</v>
      </c>
      <c r="H22" s="21">
        <f>_xlfn.XLOOKUP(ValueObject[[#This Row],[VONo]],InputValueObjects[VONo],InputValueObjects[NotNull],"",0,1)</f>
        <v>1</v>
      </c>
      <c r="I22" s="21" t="str">
        <f>_xlfn.XLOOKUP(ValueObject[[#This Row],[VONo]],InputValueObjects[VONo],InputValueObjects[型],"",0,1)</f>
        <v>float</v>
      </c>
      <c r="J22" s="21" t="str">
        <f>_xlfn.XLOOKUP(ValueObject[[#This Row],[VONo]],InputValueObjects[VONo],InputValueObjects[Entity_プロパティ],"",0,1)</f>
        <v>SlideWaitingTime</v>
      </c>
      <c r="K22" s="21" t="str">
        <f>REPLACE(ValueObject[[#This Row],[Entity_プロパティ]],1,1,LOWER(LEFT(ValueObject[[#This Row],[ValueObject]])))</f>
        <v>slideWaitingTime</v>
      </c>
      <c r="L22" s="21" t="str">
        <f>ValueObject[[#This Row],[型]]&amp;" "&amp;ValueObject[[#This Row],[変数_VO]]</f>
        <v>float slideWaitingTime</v>
      </c>
      <c r="M22" s="21" t="str">
        <f>ValueObject[[#This Row],[Entity_プロパティ]]&amp;" = new "&amp;ValueObject[[#This Row],[ValueObject]]&amp;"("&amp;ValueObject[[#This Row],[変数_VO]]&amp;");"</f>
        <v>SlideWaitingTime = new SlideWaitingTime(slideWaitingTime);</v>
      </c>
      <c r="N22" s="21" t="str">
        <f>"public "&amp;ValueObject[[#This Row],[ValueObject]]&amp;" "&amp;ValueObject[[#This Row],[Entity_プロパティ]]&amp;" { get; }"</f>
        <v>public SlideWaitingTime SlideWaitingTime { get; }</v>
      </c>
      <c r="O22" s="21" t="str">
        <f>_xlfn.XLOOKUP(SUBSTITUTE(ValueObject[[#This Row],[型]],"?",""),Types[型],Types[Convert],"",,1)</f>
        <v>Convert.ToSingle</v>
      </c>
      <c r="P22" s="21" t="str">
        <f>_xlfn.XLOOKUP(SUBSTITUTE(ValueObject[[#This Row],[型]],"?",""),Types[型],Types[型_SQLite],"",0,1)</f>
        <v>REAL</v>
      </c>
      <c r="Q22" s="21" t="str">
        <f>IF(ValueObject[[#This Row],[SQLite_型]]="","",ValueObject[[#This Row],[DBテーブル_物理名]]&amp;" "&amp;ValueObject[[#This Row],[SQLite_型]])</f>
        <v>slide_waiting_time REAL</v>
      </c>
      <c r="R22" s="19" t="str" cm="1">
        <f t="array" ref="R22">SUBSTITUTE(SUBSTITUTE(Templates[Repository_Entity_Args_NotNull],"__Convert__",ValueObject[[#This Row],[Convert]]),"__TableColumn__",ValueObject[[#This Row],[DBテーブル_物理名]])</f>
        <v>Convert.ToSingle(reader["slide_waiting_time"])</v>
      </c>
      <c r="S22" s="19" t="str" cm="1">
        <f t="array" ref="S22">SUBSTITUTE(SUBSTITUTE(Templates[Repository_Entity_Args_Null],"__Convert__",ValueObject[[#This Row],[Convert]]),"__TableColumn__",ValueObject[[#This Row],[DBテーブル_物理名]])</f>
        <v>reader["slide_waiting_time"] != DBNull.Value ? Convert.ToSingle(reader["slide_waiting_time"]) : null</v>
      </c>
      <c r="T22" s="19" t="str">
        <f>IF(ValueObject[[#This Row],[NotNull]]=1,ValueObject[[#This Row],[Repository_Entity_Args_NotNull]],ValueObject[[#This Row],[Repository_Entity_Args_Null]])</f>
        <v>Convert.ToSingle(reader["slide_waiting_time"])</v>
      </c>
      <c r="U22" s="19" t="str">
        <f>ValueObject[[#This Row],[DBテーブル_物理名]]&amp;" = @"&amp;ValueObject[[#This Row],[DBテーブル_物理名]]</f>
        <v>slide_waiting_time = @slide_waiting_time</v>
      </c>
      <c r="V22" s="19" t="str" cm="1">
        <f t="array" ref="V22">SUBSTITUTE(SUBSTITUTE(Templates[SQLiteParameter_Args],"__Column__",ValueObject[[#This Row],[DBテーブル_物理名]]),"__VO__",ValueObject[[#This Row],[Entity_プロパティ]])</f>
        <v>new SQLiteParameter("@slide_waiting_time", entity.SlideWaitingTime.Value)</v>
      </c>
      <c r="W22" s="19" t="str" cm="1">
        <f t="array" ref="W22">SUBSTITUTE(SUBSTITUTE(Templates[ViewModelEntity_Property_get],"__Type__",ValueObject[[#This Row],[型]]),"__EntityProperty__",ValueObject[[#This Row],[Entity_プロパティ]])</f>
        <v xml:space="preserve">        public float SlideWaitingTime =&gt; Entity.SlideWaitingTime.Value;</v>
      </c>
      <c r="X22" s="19" t="str" cm="1">
        <f t="array" ref="X22">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PageMstEntity</v>
      </c>
      <c r="D23" s="21" t="str">
        <f>_xlfn.XLOOKUP(ValueObject[[#This Row],[VONo]],InputValueObjects[VONo],InputValueObjects[ValueObject],"",0,1)</f>
        <v>Note</v>
      </c>
      <c r="E23" s="21" t="str">
        <f>_xlfn.XLOOKUP(ValueObject[[#This Row],[VONo]],InputValueObjects[VONo],InputValueObjects[DBカラム_物理名],"",0,1)</f>
        <v>note1</v>
      </c>
      <c r="F23" s="19" t="str">
        <f>"@"&amp;ValueObject[[#This Row],[DBテーブル_物理名]]</f>
        <v>@note1</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string?</v>
      </c>
      <c r="J23" s="21" t="str">
        <f>_xlfn.XLOOKUP(ValueObject[[#This Row],[VONo]],InputValueObjects[VONo],InputValueObjects[Entity_プロパティ],"",0,1)</f>
        <v>Note1</v>
      </c>
      <c r="K23" s="21" t="str">
        <f>REPLACE(ValueObject[[#This Row],[Entity_プロパティ]],1,1,LOWER(LEFT(ValueObject[[#This Row],[ValueObject]])))</f>
        <v>note1</v>
      </c>
      <c r="L23" s="21" t="str">
        <f>ValueObject[[#This Row],[型]]&amp;" "&amp;ValueObject[[#This Row],[変数_VO]]</f>
        <v>string? note1</v>
      </c>
      <c r="M23" s="21" t="str">
        <f>ValueObject[[#This Row],[Entity_プロパティ]]&amp;" = new "&amp;ValueObject[[#This Row],[ValueObject]]&amp;"("&amp;ValueObject[[#This Row],[変数_VO]]&amp;");"</f>
        <v>Note1 = new Note(note1);</v>
      </c>
      <c r="N23" s="21" t="str">
        <f>"public "&amp;ValueObject[[#This Row],[ValueObject]]&amp;" "&amp;ValueObject[[#This Row],[Entity_プロパティ]]&amp;" { get; }"</f>
        <v>public Note Note1 { get; }</v>
      </c>
      <c r="O23" s="21" t="str">
        <f>_xlfn.XLOOKUP(SUBSTITUTE(ValueObject[[#This Row],[型]],"?",""),Types[型],Types[Convert],"",,1)</f>
        <v>Convert.ToString</v>
      </c>
      <c r="P23" s="21" t="str">
        <f>_xlfn.XLOOKUP(SUBSTITUTE(ValueObject[[#This Row],[型]],"?",""),Types[型],Types[型_SQLite],"",0,1)</f>
        <v>TEXT</v>
      </c>
      <c r="Q23" s="21" t="str">
        <f>IF(ValueObject[[#This Row],[SQLite_型]]="","",ValueObject[[#This Row],[DBテーブル_物理名]]&amp;" "&amp;ValueObject[[#This Row],[SQLite_型]])</f>
        <v>note1 TEXT</v>
      </c>
      <c r="R23" s="19" t="str" cm="1">
        <f t="array" ref="R23">SUBSTITUTE(SUBSTITUTE(Templates[Repository_Entity_Args_NotNull],"__Convert__",ValueObject[[#This Row],[Convert]]),"__TableColumn__",ValueObject[[#This Row],[DBテーブル_物理名]])</f>
        <v>Convert.ToString(reader["note1"])</v>
      </c>
      <c r="S23" s="19" t="str" cm="1">
        <f t="array" ref="S23">SUBSTITUTE(SUBSTITUTE(Templates[Repository_Entity_Args_Null],"__Convert__",ValueObject[[#This Row],[Convert]]),"__TableColumn__",ValueObject[[#This Row],[DBテーブル_物理名]])</f>
        <v>reader["note1"] != DBNull.Value ? Convert.ToString(reader["note1"]) : null</v>
      </c>
      <c r="T23" s="19" t="str">
        <f>IF(ValueObject[[#This Row],[NotNull]]=1,ValueObject[[#This Row],[Repository_Entity_Args_NotNull]],ValueObject[[#This Row],[Repository_Entity_Args_Null]])</f>
        <v>reader["note1"] != DBNull.Value ? Convert.ToString(reader["note1"]) : null</v>
      </c>
      <c r="U23" s="19" t="str">
        <f>ValueObject[[#This Row],[DBテーブル_物理名]]&amp;" = @"&amp;ValueObject[[#This Row],[DBテーブル_物理名]]</f>
        <v>note1 = @note1</v>
      </c>
      <c r="V23" s="19" t="str" cm="1">
        <f t="array" ref="V23">SUBSTITUTE(SUBSTITUTE(Templates[SQLiteParameter_Args],"__Column__",ValueObject[[#This Row],[DBテーブル_物理名]]),"__VO__",ValueObject[[#This Row],[Entity_プロパティ]])</f>
        <v>new SQLiteParameter("@note1", entity.Note1.Value)</v>
      </c>
      <c r="W23" s="19" t="str" cm="1">
        <f t="array" ref="W23">SUBSTITUTE(SUBSTITUTE(Templates[ViewModelEntity_Property_get],"__Type__",ValueObject[[#This Row],[型]]),"__EntityProperty__",ValueObject[[#This Row],[Entity_プロパティ]])</f>
        <v xml:space="preserve">        public string? Note1 =&gt; Entity.Note1.Value;</v>
      </c>
      <c r="X23" s="19" t="str" cm="1">
        <f t="array" ref="X23">SUBSTITUTE(SUBSTITUTE(Templates[ViewModelEntity_Property_getset],"__Type__",ValueObject[[#This Row],[型]]),"__EntityProperty__",ValueObject[[#This Row],[Entity_プロパティ]])</f>
        <v xml:space="preserve">       public string? Note1 
        {
            get { return Entity.Note1.Value; }
            set { Entity.Note1 = new Note1(value);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4" spans="2:25" ht="20.05" customHeight="1">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note2</v>
      </c>
      <c r="F24" s="19" t="str">
        <f>"@"&amp;ValueObject[[#This Row],[DBテーブル_物理名]]</f>
        <v>@note2</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Note2</v>
      </c>
      <c r="K24" s="21" t="str">
        <f>REPLACE(ValueObject[[#This Row],[Entity_プロパティ]],1,1,LOWER(LEFT(ValueObject[[#This Row],[ValueObject]])))</f>
        <v>note2</v>
      </c>
      <c r="L24" s="21" t="str">
        <f>ValueObject[[#This Row],[型]]&amp;" "&amp;ValueObject[[#This Row],[変数_VO]]</f>
        <v>string? note2</v>
      </c>
      <c r="M24" s="21" t="str">
        <f>ValueObject[[#This Row],[Entity_プロパティ]]&amp;" = new "&amp;ValueObject[[#This Row],[ValueObject]]&amp;"("&amp;ValueObject[[#This Row],[変数_VO]]&amp;");"</f>
        <v>Note2 = new Note(note2);</v>
      </c>
      <c r="N24" s="21" t="str">
        <f>"public "&amp;ValueObject[[#This Row],[ValueObject]]&amp;" "&amp;ValueObject[[#This Row],[Entity_プロパティ]]&amp;" { get; }"</f>
        <v>public Note Note2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note2 TEXT</v>
      </c>
      <c r="R24" s="19" t="str" cm="1">
        <f t="array" ref="R24">SUBSTITUTE(SUBSTITUTE(Templates[Repository_Entity_Args_NotNull],"__Convert__",ValueObject[[#This Row],[Convert]]),"__TableColumn__",ValueObject[[#This Row],[DBテーブル_物理名]])</f>
        <v>Convert.ToString(reader["note2"])</v>
      </c>
      <c r="S24" s="19" t="str" cm="1">
        <f t="array" ref="S24">SUBSTITUTE(SUBSTITUTE(Templates[Repository_Entity_Args_Null],"__Convert__",ValueObject[[#This Row],[Convert]]),"__TableColumn__",ValueObject[[#This Row],[DBテーブル_物理名]])</f>
        <v>reader["note2"] != DBNull.Value ? Convert.ToString(reader["note2"]) : null</v>
      </c>
      <c r="T24" s="19" t="str">
        <f>IF(ValueObject[[#This Row],[NotNull]]=1,ValueObject[[#This Row],[Repository_Entity_Args_NotNull]],ValueObject[[#This Row],[Repository_Entity_Args_Null]])</f>
        <v>reader["note2"] != DBNull.Value ? Convert.ToString(reader["note2"]) : null</v>
      </c>
      <c r="U24" s="19" t="str">
        <f>ValueObject[[#This Row],[DBテーブル_物理名]]&amp;" = @"&amp;ValueObject[[#This Row],[DBテーブル_物理名]]</f>
        <v>note2 = @note2</v>
      </c>
      <c r="V24" s="19" t="str" cm="1">
        <f t="array" ref="V24">SUBSTITUTE(SUBSTITUTE(Templates[SQLiteParameter_Args],"__Column__",ValueObject[[#This Row],[DBテーブル_物理名]]),"__VO__",ValueObject[[#This Row],[Entity_プロパティ]])</f>
        <v>new SQLiteParameter("@note2", entity.Note2.Value)</v>
      </c>
      <c r="W24" s="19" t="str" cm="1">
        <f t="array" ref="W24">SUBSTITUTE(SUBSTITUTE(Templates[ViewModelEntity_Property_get],"__Type__",ValueObject[[#This Row],[型]]),"__EntityProperty__",ValueObject[[#This Row],[Entity_プロパティ]])</f>
        <v xml:space="preserve">        public string? Note2 =&gt; Entity.Note2.Value;</v>
      </c>
      <c r="X24" s="19" t="str" cm="1">
        <f t="array" ref="X24">SUBSTITUTE(SUBSTITUTE(Templates[ViewModelEntity_Property_getset],"__Type__",ValueObject[[#This Row],[型]]),"__EntityProperty__",ValueObject[[#This Row],[Entity_プロパティ]])</f>
        <v xml:space="preserve">       public string? Note2 
        {
            get { return Entity.Note2.Value; }
            set { Entity.Note2 = new Note2(value);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05" customHeight="1">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note3</v>
      </c>
      <c r="F25" s="19" t="str">
        <f>"@"&amp;ValueObject[[#This Row],[DBテーブル_物理名]]</f>
        <v>@note3</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Note3</v>
      </c>
      <c r="K25" s="21" t="str">
        <f>REPLACE(ValueObject[[#This Row],[Entity_プロパティ]],1,1,LOWER(LEFT(ValueObject[[#This Row],[ValueObject]])))</f>
        <v>note3</v>
      </c>
      <c r="L25" s="21" t="str">
        <f>ValueObject[[#This Row],[型]]&amp;" "&amp;ValueObject[[#This Row],[変数_VO]]</f>
        <v>string? note3</v>
      </c>
      <c r="M25" s="21" t="str">
        <f>ValueObject[[#This Row],[Entity_プロパティ]]&amp;" = new "&amp;ValueObject[[#This Row],[ValueObject]]&amp;"("&amp;ValueObject[[#This Row],[変数_VO]]&amp;");"</f>
        <v>Note3 = new Note(note3);</v>
      </c>
      <c r="N25" s="21" t="str">
        <f>"public "&amp;ValueObject[[#This Row],[ValueObject]]&amp;" "&amp;ValueObject[[#This Row],[Entity_プロパティ]]&amp;" { get; }"</f>
        <v>public Note Note3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note3 TEXT</v>
      </c>
      <c r="R25" s="19" t="str" cm="1">
        <f t="array" ref="R25">SUBSTITUTE(SUBSTITUTE(Templates[Repository_Entity_Args_NotNull],"__Convert__",ValueObject[[#This Row],[Convert]]),"__TableColumn__",ValueObject[[#This Row],[DBテーブル_物理名]])</f>
        <v>Convert.ToString(reader["note3"])</v>
      </c>
      <c r="S25" s="19" t="str" cm="1">
        <f t="array" ref="S25">SUBSTITUTE(SUBSTITUTE(Templates[Repository_Entity_Args_Null],"__Convert__",ValueObject[[#This Row],[Convert]]),"__TableColumn__",ValueObject[[#This Row],[DBテーブル_物理名]])</f>
        <v>reader["note3"] != DBNull.Value ? Convert.ToString(reader["note3"]) : null</v>
      </c>
      <c r="T25" s="19" t="str">
        <f>IF(ValueObject[[#This Row],[NotNull]]=1,ValueObject[[#This Row],[Repository_Entity_Args_NotNull]],ValueObject[[#This Row],[Repository_Entity_Args_Null]])</f>
        <v>reader["note3"] != DBNull.Value ? Convert.ToString(reader["note3"]) : null</v>
      </c>
      <c r="U25" s="19" t="str">
        <f>ValueObject[[#This Row],[DBテーブル_物理名]]&amp;" = @"&amp;ValueObject[[#This Row],[DBテーブル_物理名]]</f>
        <v>note3 = @note3</v>
      </c>
      <c r="V25" s="19" t="str" cm="1">
        <f t="array" ref="V25">SUBSTITUTE(SUBSTITUTE(Templates[SQLiteParameter_Args],"__Column__",ValueObject[[#This Row],[DBテーブル_物理名]]),"__VO__",ValueObject[[#This Row],[Entity_プロパティ]])</f>
        <v>new SQLiteParameter("@note3", entity.Note3.Value)</v>
      </c>
      <c r="W25" s="19" t="str" cm="1">
        <f t="array" ref="W25">SUBSTITUTE(SUBSTITUTE(Templates[ViewModelEntity_Property_get],"__Type__",ValueObject[[#This Row],[型]]),"__EntityProperty__",ValueObject[[#This Row],[Entity_プロパティ]])</f>
        <v xml:space="preserve">        public string? Note3 =&gt; Entity.Note3.Value;</v>
      </c>
      <c r="X25" s="19" t="str" cm="1">
        <f t="array" ref="X25">SUBSTITUTE(SUBSTITUTE(Templates[ViewModelEntity_Property_getset],"__Type__",ValueObject[[#This Row],[型]]),"__EntityProperty__",ValueObject[[#This Row],[Entity_プロパティ]])</f>
        <v xml:space="preserve">       public string? Note3 
        {
            get { return Entity.Note3.Value; }
            set { Entity.Note3 = new Note3(value);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05" customHeight="1">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_xlfn.XLOOKUP(ValueObject[[#This Row],[VONo]],InputValueObjects[VONo],InputValueObjects[Entity_プロパティ],"",0,1)</f>
        <v/>
      </c>
      <c r="K26" s="21" t="str">
        <f>REPLACE(ValueObject[[#This Row],[Entity_プロパティ]],1,1,LOWER(LEFT(ValueObject[[#This Row],[ValueObject]])))</f>
        <v/>
      </c>
      <c r="L26" s="21" t="str">
        <f>ValueObject[[#This Row],[型]]&amp;" "&amp;ValueObject[[#This Row],[変数_VO]]</f>
        <v xml:space="preserve">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Entity..Value;</v>
      </c>
      <c r="X26" s="19" t="str" cm="1">
        <f t="array" ref="X26">SUBSTITUTE(SUBSTITUTE(Templates[ViewModelEntity_Property_getset],"__Type__",ValueObject[[#This Row],[型]]),"__EntityProperty__",ValueObject[[#This Row],[Entity_プロパティ]])</f>
        <v xml:space="preserve">       public   
        {
            get { return Entity..Value; }
            set { 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_xlfn.XLOOKUP(ValueObject[[#This Row],[VONo]],InputValueObjects[VONo],InputValueObjects[Entity_プロパティ],"",0,1)</f>
        <v/>
      </c>
      <c r="K28" s="21" t="str">
        <f>REPLACE(ValueObject[[#This Row],[Entity_プロパティ]],1,1,LOWER(LEFT(ValueObject[[#This Row],[ValueObject]])))</f>
        <v/>
      </c>
      <c r="L28" s="21" t="str">
        <f>ValueObject[[#This Row],[型]]&amp;" "&amp;ValueObject[[#This Row],[変数_VO]]</f>
        <v xml:space="preserve">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Entity..Value;</v>
      </c>
      <c r="X28" s="19" t="str" cm="1">
        <f t="array" ref="X28">SUBSTITUTE(SUBSTITUTE(Templates[ViewModelEntity_Property_getset],"__Type__",ValueObject[[#This Row],[型]]),"__EntityProperty__",ValueObject[[#This Row],[Entity_プロパティ]])</f>
        <v xml:space="preserve">       public   
        {
            get { return Entity..Value; }
            set { 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_xlfn.XLOOKUP(ValueObject[[#This Row],[VONo]],InputValueObjects[VONo],InputValueObjects[Entity_プロパティ],"",0,1)</f>
        <v/>
      </c>
      <c r="K29" s="21" t="str">
        <f>REPLACE(ValueObject[[#This Row],[Entity_プロパティ]],1,1,LOWER(LEFT(ValueObject[[#This Row],[ValueObject]])))</f>
        <v/>
      </c>
      <c r="L29" s="21" t="str">
        <f>ValueObject[[#This Row],[型]]&amp;" "&amp;ValueObject[[#This Row],[変数_VO]]</f>
        <v xml:space="preserve">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Entity..Value;</v>
      </c>
      <c r="X29" s="19" t="str" cm="1">
        <f t="array" ref="X29">SUBSTITUTE(SUBSTITUTE(Templates[ViewModelEntity_Property_getset],"__Type__",ValueObject[[#This Row],[型]]),"__EntityProperty__",ValueObject[[#This Row],[Entity_プロパティ]])</f>
        <v xml:space="preserve">       public   
        {
            get { return Entity..Value; }
            set { 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_xlfn.XLOOKUP(ValueObject[[#This Row],[VONo]],InputValueObjects[VONo],InputValueObjects[Entity_プロパティ],"",0,1)</f>
        <v/>
      </c>
      <c r="K30" s="21" t="str">
        <f>REPLACE(ValueObject[[#This Row],[Entity_プロパティ]],1,1,LOWER(LEFT(ValueObject[[#This Row],[ValueObject]])))</f>
        <v/>
      </c>
      <c r="L30" s="21" t="str">
        <f>ValueObject[[#This Row],[型]]&amp;" "&amp;ValueObject[[#This Row],[変数_VO]]</f>
        <v xml:space="preserve">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Entity..Value;</v>
      </c>
      <c r="X30" s="19" t="str" cm="1">
        <f t="array" ref="X30">SUBSTITUTE(SUBSTITUTE(Templates[ViewModelEntity_Property_getset],"__Type__",ValueObject[[#This Row],[型]]),"__EntityProperty__",ValueObject[[#This Row],[Entity_プロパティ]])</f>
        <v xml:space="preserve">       public   
        {
            get { return Entity..Value; }
            set { 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_xlfn.XLOOKUP(ValueObject[[#This Row],[VONo]],InputValueObjects[VONo],InputValueObjects[Entity_プロパティ],"",0,1)</f>
        <v/>
      </c>
      <c r="K31" s="21" t="str">
        <f>REPLACE(ValueObject[[#This Row],[Entity_プロパティ]],1,1,LOWER(LEFT(ValueObject[[#This Row],[ValueObject]])))</f>
        <v/>
      </c>
      <c r="L31" s="21" t="str">
        <f>ValueObject[[#This Row],[型]]&amp;" "&amp;ValueObject[[#This Row],[変数_VO]]</f>
        <v xml:space="preserve">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Entity..Value;</v>
      </c>
      <c r="X31" s="19" t="str" cm="1">
        <f t="array" ref="X31">SUBSTITUTE(SUBSTITUTE(Templates[ViewModelEntity_Property_getset],"__Type__",ValueObject[[#This Row],[型]]),"__EntityProperty__",ValueObject[[#This Row],[Entity_プロパティ]])</f>
        <v xml:space="preserve">       public   
        {
            get { return Entity..Value; }
            set { 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_xlfn.XLOOKUP(ValueObject[[#This Row],[VONo]],InputValueObjects[VONo],InputValueObjects[Entity_プロパティ],"",0,1)</f>
        <v/>
      </c>
      <c r="K32" s="21" t="str">
        <f>REPLACE(ValueObject[[#This Row],[Entity_プロパティ]],1,1,LOWER(LEFT(ValueObject[[#This Row],[ValueObject]])))</f>
        <v/>
      </c>
      <c r="L32" s="21" t="str">
        <f>ValueObject[[#This Row],[型]]&amp;" "&amp;ValueObject[[#This Row],[変数_VO]]</f>
        <v xml:space="preserve">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Entity..Value;</v>
      </c>
      <c r="X32" s="19" t="str" cm="1">
        <f t="array" ref="X32">SUBSTITUTE(SUBSTITUTE(Templates[ViewModelEntity_Property_getset],"__Type__",ValueObject[[#This Row],[型]]),"__EntityProperty__",ValueObject[[#This Row],[Entity_プロパティ]])</f>
        <v xml:space="preserve">       public   
        {
            get { return Entity..Value; }
            set { 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workerCode,
			string workerName)
        {
            WorkerCode = new WorkerCode(workerCode);
			WorkerName = new WorkerName(workerName);
        }
        public WorkerCode WorkerCode { get; }
public WorkerName WorkerName { get; }
    }
}</v>
      </c>
    </row>
    <row r="6" spans="1:7" ht="19.75" customHeight="1">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v>
      </c>
      <c r="E6" s="19" t="str" cm="1">
        <f t="array" ref="E6">_xlfn.TEXTJOIN(CHAR(10)&amp;REPT(CHAR(9),3),TRUE,_xlfn._xlws.FILTER(ValueObject[Entity_コンストラクタ],ValueObject[Entity]=Entity[[#This Row],[Entity]]))</f>
        <v>WorkerCode = new WorkerCode(workerCode);
			WorkerName = new WorkerName(workerName);</v>
      </c>
      <c r="F6" s="19" t="str" cm="1">
        <f t="array" ref="F6">_xlfn.TEXTJOIN(CHAR(10),TRUE,_xlfn._xlws.FILTER(ValueObject[Entity_プロパティ_get],ValueObject[Entity]=Entity[[#This Row],[Entity]]))</f>
        <v>public WorkerCode WorkerCode { get; }
public WorkerName WorkerName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7" spans="1:7" ht="170.15" customHeight="1">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05" customHeight="1">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05" customHeight="1">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13" sqref="H13"/>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91</v>
      </c>
    </row>
    <row r="3" spans="1:8">
      <c r="B3" s="15" t="s">
        <v>29</v>
      </c>
      <c r="C3" s="15" t="s">
        <v>7</v>
      </c>
      <c r="D3" s="15" t="s">
        <v>19</v>
      </c>
      <c r="E3" s="15" t="s">
        <v>99</v>
      </c>
      <c r="F3" s="40" t="s">
        <v>100</v>
      </c>
      <c r="H3" s="41" t="s">
        <v>101</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tmp_worker_group_mst(worker_code TEXT,worker_name TEXT);
CREATE TABLE tmp_worker_mst(worker_code TEXT,worker_name TEXT);
CREATE TABLE tmp_working_time_plan_mst(worker_code TEXT,weekday INTEGER,working_time REAL);
CREATE TABLE tmp_page_mst(page_id INTEGER,page_name TEXT,movie_link TEXT,image_folder_link TEXT,image_page_no INTEGER,slide_waiting_time REAL,note1 TEXT,note2 TEXT,note3 TEXT);</v>
      </c>
    </row>
    <row r="5" spans="1:8" ht="20.05" customHeight="1">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tmp_worker_group_mst(worker_code TEXT,worker_name TEXT);</v>
      </c>
    </row>
    <row r="6" spans="1:8" ht="20.05" customHeight="1">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v>
      </c>
    </row>
    <row r="7" spans="1:8" ht="20.05" customHeight="1">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05" customHeight="1">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05" customHeight="1">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05" customHeight="1">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v>
      </c>
      <c r="F6" s="19" t="str" cm="1">
        <f t="array" ref="F6">_xlfn.TEXTJOIN(CHAR(10),TRUE,_xlfn._xlws.FILTER(ValueObject[Entity_コンストラクタ],ValueObject[Entity]=IRepository[[#This Row],[Entity]]))</f>
        <v>WorkerCode = new WorkerCode(workerCode);
WorkerName = new WorkerName(workerName);</v>
      </c>
      <c r="G6" s="19" t="str" cm="1">
        <f t="array" ref="G6">_xlfn.TEXTJOIN(CHAR(10),TRUE,_xlfn._xlws.FILTER(ValueObject[Entity_プロパティ_get],ValueObject[Entity]=IRepository[[#This Row],[Entity]]))</f>
        <v>public WorkerCode WorkerCode { get; }
public WorkerName WorkerName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05" customHeight="1">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05" customHeight="1">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05" customHeight="1">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worker_code,
  worker_name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tmp_worker_group_mst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worker_code,
  worker_name
FROM
  tmp_worker_group_mst
";
            return SQLiteHelper.Query(sql,
                reader =&gt;
                {
                    return new WorkerGroupMstEntity(
                        Convert.ToString(reader["worker_code"]),
						Convert.ToString(reader["worker_name"])
                        );
                });
        }
        public void Save(WorkerGroupMstEntity entity)
        {
            string insert = @"
INSERT INTO tmp_worker_group_mst
 (worker_code,
  worker_name)
VALUES
 (@worker_code,
  @worker_name)
";
            string update = @"
UPDATE tmp_worker_group_mst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Delete(WorkerGroupMstEntity entity)
        {
            string delete = @"
DELETE FROM tmp_worker_group_mst WHERE worker_code = @worker_code
";
            var args = new List&lt;SQLiteParameter&gt;
            {
                new SQLiteParameter("@worker_code", entity.WorkerCode.Value)
            };
            SQLiteHelper.Execute(delete, args.ToArray());
        }
    }
}</v>
      </c>
    </row>
    <row r="6" spans="1:21" ht="190.75" customHeight="1">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v>
      </c>
      <c r="J6" s="19" t="str" cm="1">
        <f t="array" ref="J6">_xlfn.TEXTJOIN(","&amp;CHAR(10)&amp;"  ",TRUE,_xlfn._xlws.FILTER(ValueObject[SQLite_パラメータ],ValueObject[Entity]=Repository_SQLite[[#This Row],[Entity]]))</f>
        <v>@worker_code,
  @worker_name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v>
      </c>
      <c r="N6" s="19" t="str" cm="1">
        <f t="array" ref="N6">_xlfn.TEXTJOIN(","&amp;CHAR(10)&amp;REPT(CHAR(9),4),TRUE,_xlfn._xlws.FILTER(ValueObject[SQLiteParameter_Args],ValueObject[Entity]=Repository_SQLite[[#This Row],[Entity]]))</f>
        <v>new SQLiteParameter("@worker_code", entity.WorkerCode.Value),
				new SQLiteParameter("@worker_name", entity.WorkerName.Value)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75" customHeight="1">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05" customHeight="1">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05" customHeight="1">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120</v>
      </c>
    </row>
    <row r="3" spans="1:12">
      <c r="C3" s="2" t="s">
        <v>121</v>
      </c>
      <c r="D3" s="3" t="s">
        <v>122</v>
      </c>
    </row>
    <row r="4" spans="1:12">
      <c r="K4" t="s">
        <v>129</v>
      </c>
    </row>
    <row r="5" spans="1:12">
      <c r="B5" s="15" t="s">
        <v>123</v>
      </c>
      <c r="C5" s="15" t="s">
        <v>7</v>
      </c>
      <c r="D5" s="15" t="s">
        <v>53</v>
      </c>
      <c r="E5" s="44" t="s">
        <v>76</v>
      </c>
      <c r="F5" s="15" t="s">
        <v>124</v>
      </c>
      <c r="G5" s="27" t="s">
        <v>125</v>
      </c>
      <c r="K5" s="5" t="s">
        <v>127</v>
      </c>
      <c r="L5" s="5" t="s">
        <v>128</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worker_code,
  worker_name
FROM
  tmp_worker_group_mst
";
            return SQLiteHelper.Query(sql,
                reader =&gt;
                {
                    return new WorkerGroupMstEntity(
                        Convert.ToString(reader["worker_code"]),
						Convert.ToString(reader["worker_name"])
                        );
                });
        }
        public void Save(WorkerGroupMstEntity entity)
        {
            string insert = @"
INSERT INTO tmp_worker_group_mst
 (worker_code,
  worker_name)
VALUES
 (@worker_code,
  @worker_name)
";
            string update = @"
UPDATE tmp_worker_group_mst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Delete(WorkerGroupMstEntity entity)
        {
            string delete = @"
DELETE FROM tmp_worker_group_mst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worker_code,
  worker_name
FROM
  tmp_worker_group_mst
";
            return OracleOdpHelper.Query(sql,
                reader =&gt;
                {
                    return new WorkerGroupMstEntity(
                        Convert.ToString(reader["worker_code"]),
						Convert.ToString(reader["worker_name"])
                        );
                });
        }
        public void Save(WorkerGroupMstEntity entity)
        {
            string insert = @"
INSERT INTO tmp_worker_group_mst
 (worker_code,
  worker_name)
VALUES
 (:worker_code,
  :worker_name)
";
            string update = @"
UPDATE tmp_worker_group_mst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Delete(WorkerGroupMstEntity entity)
        {
            string delete = @"
DELETE FROM tmp_worker_group_mst WHERE worker_code = :worker_code
";
            var args = new List&lt;OracleParameter&gt;
            {
                new OracleParameter(":worker_code", entity.WorkerCode.Value)
            };
            OracleOdpHelper.Execute(delete, args.ToArray());
        }
    }
}</v>
      </c>
    </row>
    <row r="8" spans="1:12" ht="20.05" customHeight="1">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05" customHeight="1">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05" customHeight="1">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05" customHeight="1">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c r="A1" s="1" t="s">
        <v>80</v>
      </c>
    </row>
    <row r="3" spans="1:10">
      <c r="C3" s="31" t="s">
        <v>29</v>
      </c>
      <c r="D3" s="31" t="s">
        <v>81</v>
      </c>
      <c r="E3" s="31" t="s">
        <v>7</v>
      </c>
      <c r="F3" s="46" t="s">
        <v>80</v>
      </c>
      <c r="G3" s="31" t="s">
        <v>82</v>
      </c>
      <c r="H3" s="31" t="s">
        <v>85</v>
      </c>
      <c r="I3" s="32" t="s">
        <v>86</v>
      </c>
      <c r="J3" s="33" t="s">
        <v>87</v>
      </c>
    </row>
    <row r="4" spans="1:10" ht="353.15" customHeight="1">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05" customHeight="1">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WorkerCode =&gt; Entity.WorkerCode.Value;
        public string WorkerName =&gt; Entity.WorkerName.Value;</v>
      </c>
      <c r="H5" s="19" t="str" cm="1">
        <f t="array" ref="H5">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WorkerCode =&gt; Entity.WorkerCode.Value;
        public string WorkerName =&gt; Entity.WorkerName.Value;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WorkerCode 
        {
            get { return Entity.WorkerCode.Value; }
            set { Entity.WorkerCode = new WorkerCode(value); }
        }
       public string WorkerName 
        {
            get { return Entity.WorkerName.Value; }
            set { Entity.WorkerName = new WorkerName(value); }
        }
    }
}</v>
      </c>
    </row>
    <row r="6" spans="1:10" ht="20.05" customHeight="1">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
}</v>
      </c>
    </row>
    <row r="7" spans="1:10" ht="20.05" customHeight="1">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05" customHeight="1">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2023-02-04T11:59:46Z</dcterms:modified>
</cp:coreProperties>
</file>